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25.xml"/>
  <Override ContentType="application/vnd.openxmlformats-officedocument.spreadsheetml.externalLink+xml" PartName="/xl/externalLinks/externalLink50.xml"/>
  <Override ContentType="application/vnd.openxmlformats-officedocument.spreadsheetml.externalLink+xml" PartName="/xl/externalLinks/externalLink2.xml"/>
  <Override ContentType="application/vnd.openxmlformats-officedocument.spreadsheetml.externalLink+xml" PartName="/xl/externalLinks/externalLink33.xml"/>
  <Override ContentType="application/vnd.openxmlformats-officedocument.spreadsheetml.externalLink+xml" PartName="/xl/externalLinks/externalLink59.xml"/>
  <Override ContentType="application/vnd.openxmlformats-officedocument.spreadsheetml.externalLink+xml" PartName="/xl/externalLinks/externalLink16.xml"/>
  <Override ContentType="application/vnd.openxmlformats-officedocument.spreadsheetml.externalLink+xml" PartName="/xl/externalLinks/externalLink42.xml"/>
  <Override ContentType="application/vnd.openxmlformats-officedocument.spreadsheetml.externalLink+xml" PartName="/xl/externalLinks/externalLink1.xml"/>
  <Override ContentType="application/vnd.openxmlformats-officedocument.spreadsheetml.externalLink+xml" PartName="/xl/externalLinks/externalLink18.xml"/>
  <Override ContentType="application/vnd.openxmlformats-officedocument.spreadsheetml.externalLink+xml" PartName="/xl/externalLinks/externalLink43.xml"/>
  <Override ContentType="application/vnd.openxmlformats-officedocument.spreadsheetml.externalLink+xml" PartName="/xl/externalLinks/externalLink26.xml"/>
  <Override ContentType="application/vnd.openxmlformats-officedocument.spreadsheetml.externalLink+xml" PartName="/xl/externalLinks/externalLink35.xml"/>
  <Override ContentType="application/vnd.openxmlformats-officedocument.spreadsheetml.externalLink+xml" PartName="/xl/externalLinks/externalLink51.xml"/>
  <Override ContentType="application/vnd.openxmlformats-officedocument.spreadsheetml.externalLink+xml" PartName="/xl/externalLinks/externalLink34.xml"/>
  <Override ContentType="application/vnd.openxmlformats-officedocument.spreadsheetml.externalLink+xml" PartName="/xl/externalLinks/externalLink52.xml"/>
  <Override ContentType="application/vnd.openxmlformats-officedocument.spreadsheetml.externalLink+xml" PartName="/xl/externalLinks/externalLink17.xml"/>
  <Override ContentType="application/vnd.openxmlformats-officedocument.spreadsheetml.externalLink+xml" PartName="/xl/externalLinks/externalLink49.xml"/>
  <Override ContentType="application/vnd.openxmlformats-officedocument.spreadsheetml.externalLink+xml" PartName="/xl/externalLinks/externalLink23.xml"/>
  <Override ContentType="application/vnd.openxmlformats-officedocument.spreadsheetml.externalLink+xml" PartName="/xl/externalLinks/externalLink36.xml"/>
  <Override ContentType="application/vnd.openxmlformats-officedocument.spreadsheetml.externalLink+xml" PartName="/xl/externalLinks/externalLink10.xml"/>
  <Override ContentType="application/vnd.openxmlformats-officedocument.spreadsheetml.externalLink+xml" PartName="/xl/externalLinks/externalLink40.xml"/>
  <Override ContentType="application/vnd.openxmlformats-officedocument.spreadsheetml.externalLink+xml" PartName="/xl/externalLinks/externalLink53.xml"/>
  <Override ContentType="application/vnd.openxmlformats-officedocument.spreadsheetml.externalLink+xml" PartName="/xl/externalLinks/externalLink9.xml"/>
  <Override ContentType="application/vnd.openxmlformats-officedocument.spreadsheetml.externalLink+xml" PartName="/xl/externalLinks/externalLink8.xml"/>
  <Override ContentType="application/vnd.openxmlformats-officedocument.spreadsheetml.externalLink+xml" PartName="/xl/externalLinks/externalLink11.xml"/>
  <Override ContentType="application/vnd.openxmlformats-officedocument.spreadsheetml.externalLink+xml" PartName="/xl/externalLinks/externalLink24.xml"/>
  <Override ContentType="application/vnd.openxmlformats-officedocument.spreadsheetml.externalLink+xml" PartName="/xl/externalLinks/externalLink37.xml"/>
  <Override ContentType="application/vnd.openxmlformats-officedocument.spreadsheetml.externalLink+xml" PartName="/xl/externalLinks/externalLink19.xml"/>
  <Override ContentType="application/vnd.openxmlformats-officedocument.spreadsheetml.externalLink+xml" PartName="/xl/externalLinks/externalLink54.xml"/>
  <Override ContentType="application/vnd.openxmlformats-officedocument.spreadsheetml.externalLink+xml" PartName="/xl/externalLinks/externalLink41.xml"/>
  <Override ContentType="application/vnd.openxmlformats-officedocument.spreadsheetml.externalLink+xml" PartName="/xl/externalLinks/externalLink55.xml"/>
  <Override ContentType="application/vnd.openxmlformats-officedocument.spreadsheetml.externalLink+xml" PartName="/xl/externalLinks/externalLink7.xml"/>
  <Override ContentType="application/vnd.openxmlformats-officedocument.spreadsheetml.externalLink+xml" PartName="/xl/externalLinks/externalLink12.xml"/>
  <Override ContentType="application/vnd.openxmlformats-officedocument.spreadsheetml.externalLink+xml" PartName="/xl/externalLinks/externalLink38.xml"/>
  <Override ContentType="application/vnd.openxmlformats-officedocument.spreadsheetml.externalLink+xml" PartName="/xl/externalLinks/externalLink20.xml"/>
  <Override ContentType="application/vnd.openxmlformats-officedocument.spreadsheetml.externalLink+xml" PartName="/xl/externalLinks/externalLink46.xml"/>
  <Override ContentType="application/vnd.openxmlformats-officedocument.spreadsheetml.externalLink+xml" PartName="/xl/externalLinks/externalLink29.xml"/>
  <Override ContentType="application/vnd.openxmlformats-officedocument.spreadsheetml.externalLink+xml" PartName="/xl/externalLinks/externalLink48.xml"/>
  <Override ContentType="application/vnd.openxmlformats-officedocument.spreadsheetml.externalLink+xml" PartName="/xl/externalLinks/externalLink13.xml"/>
  <Override ContentType="application/vnd.openxmlformats-officedocument.spreadsheetml.externalLink+xml" PartName="/xl/externalLinks/externalLink6.xml"/>
  <Override ContentType="application/vnd.openxmlformats-officedocument.spreadsheetml.externalLink+xml" PartName="/xl/externalLinks/externalLink21.xml"/>
  <Override ContentType="application/vnd.openxmlformats-officedocument.spreadsheetml.externalLink+xml" PartName="/xl/externalLinks/externalLink22.xml"/>
  <Override ContentType="application/vnd.openxmlformats-officedocument.spreadsheetml.externalLink+xml" PartName="/xl/externalLinks/externalLink39.xml"/>
  <Override ContentType="application/vnd.openxmlformats-officedocument.spreadsheetml.externalLink+xml" PartName="/xl/externalLinks/externalLink47.xml"/>
  <Override ContentType="application/vnd.openxmlformats-officedocument.spreadsheetml.externalLink+xml" PartName="/xl/externalLinks/externalLink30.xml"/>
  <Override ContentType="application/vnd.openxmlformats-officedocument.spreadsheetml.externalLink+xml" PartName="/xl/externalLinks/externalLink56.xml"/>
  <Override ContentType="application/vnd.openxmlformats-officedocument.spreadsheetml.externalLink+xml" PartName="/xl/externalLinks/externalLink31.xml"/>
  <Override ContentType="application/vnd.openxmlformats-officedocument.spreadsheetml.externalLink+xml" PartName="/xl/externalLinks/externalLink5.xml"/>
  <Override ContentType="application/vnd.openxmlformats-officedocument.spreadsheetml.externalLink+xml" PartName="/xl/externalLinks/externalLink4.xml"/>
  <Override ContentType="application/vnd.openxmlformats-officedocument.spreadsheetml.externalLink+xml" PartName="/xl/externalLinks/externalLink27.xml"/>
  <Override ContentType="application/vnd.openxmlformats-officedocument.spreadsheetml.externalLink+xml" PartName="/xl/externalLinks/externalLink14.xml"/>
  <Override ContentType="application/vnd.openxmlformats-officedocument.spreadsheetml.externalLink+xml" PartName="/xl/externalLinks/externalLink44.xml"/>
  <Override ContentType="application/vnd.openxmlformats-officedocument.spreadsheetml.externalLink+xml" PartName="/xl/externalLinks/externalLink57.xml"/>
  <Override ContentType="application/vnd.openxmlformats-officedocument.spreadsheetml.externalLink+xml" PartName="/xl/externalLinks/externalLink32.xml"/>
  <Override ContentType="application/vnd.openxmlformats-officedocument.spreadsheetml.externalLink+xml" PartName="/xl/externalLinks/externalLink3.xml"/>
  <Override ContentType="application/vnd.openxmlformats-officedocument.spreadsheetml.externalLink+xml" PartName="/xl/externalLinks/externalLink15.xml"/>
  <Override ContentType="application/vnd.openxmlformats-officedocument.spreadsheetml.externalLink+xml" PartName="/xl/externalLinks/externalLink58.xml"/>
  <Override ContentType="application/vnd.openxmlformats-officedocument.spreadsheetml.externalLink+xml" PartName="/xl/externalLinks/externalLink28.xml"/>
  <Override ContentType="application/vnd.openxmlformats-officedocument.spreadsheetml.externalLink+xml" PartName="/xl/externalLinks/externalLink45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개정이력" sheetId="1" r:id="rId4"/>
    <sheet state="visible" name="1. 산출내역_2023년 SW기술자_평균임금 적용" sheetId="2" r:id="rId5"/>
    <sheet state="visible" name="시트1" sheetId="3" r:id="rId6"/>
    <sheet state="visible" name="2025년 적용 SW기술자 평균 임금" sheetId="4" r:id="rId7"/>
  </sheets>
  <externalReferences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</externalReferences>
  <definedNames>
    <definedName name="_1">[1]I一般比!#REF!</definedName>
    <definedName name="_1.05gb_nonplug_drive">[2]Supplement2!#REF!</definedName>
    <definedName name="_1.05gb_plug_drive">[2]Supplement2!#REF!</definedName>
    <definedName name="_1_0토">[3]설계명세서!#REF!</definedName>
    <definedName name="_1AA1_">[4]공사내역!$A$2</definedName>
    <definedName name="_2.1gb_fastwide_plug_drive">[2]Supplement2!#REF!</definedName>
    <definedName name="_2.1gb_nonplug_drive">[2]Supplement2!#REF!</definedName>
    <definedName name="_2.1gb_plug_drive">[2]Supplement2!#REF!</definedName>
    <definedName name="_2토">[3]설계명세서!#REF!</definedName>
    <definedName name="_32mb_70nsmemory">[2]Supplement2!#REF!</definedName>
    <definedName name="_4.3gb_fastwide_plug_drive">[2]Supplement2!#REF!</definedName>
    <definedName name="_4.3gb_nonplug_drive">[2]Supplement2!#REF!</definedName>
    <definedName name="_535mb_nonplug_drive">[2]Supplement2!#REF!</definedName>
    <definedName name="_8mb_70nsmemory">[2]Supplement2!#REF!</definedName>
    <definedName name="_A100000">[5]설계요율!#REF!</definedName>
    <definedName name="_A70000">[5]설계요율!#REF!</definedName>
    <definedName name="_A99999">[5]설계요율!#REF!</definedName>
    <definedName name="_Fill">[6]명세서!$A$7:$A$581</definedName>
    <definedName name="_idf4">[7]소요자재!$H$49</definedName>
    <definedName name="_idf5">[7]소요자재!$H$67</definedName>
    <definedName name="_idf6">[7]소요자재!$H$68</definedName>
    <definedName name="_ind7">[8]투자효율분석!$E$20</definedName>
    <definedName name="_Key1">[6]명세서!#REF!</definedName>
    <definedName name="_Key2">[6]명세서!#REF!</definedName>
    <definedName name="_ML450">{#N/A,#N/A,FALSE,"3가";#N/A,#N/A,FALSE,"3나";#N/A,#N/A,FALSE,"3다"}</definedName>
    <definedName name="_ofd241">[7]소요자재!$H$45</definedName>
    <definedName name="_ofd242">[7]소요자재!$H$64</definedName>
    <definedName name="_ofd481">[7]소요자재!$H$46</definedName>
    <definedName name="_ofd482">[7]소요자재!$H$65</definedName>
    <definedName name="_ofd961">[7]소요자재!$H$47</definedName>
    <definedName name="_ofd962">[7]소요자재!$H$66</definedName>
    <definedName name="_OJC1">[7]소요자재!$H$97</definedName>
    <definedName name="_OJC2">[7]소요자재!$H$98</definedName>
    <definedName name="_OJC3">[7]소요자재!$H$125</definedName>
    <definedName name="_OJC4">[7]소요자재!$H$126</definedName>
    <definedName name="_Order1">255</definedName>
    <definedName name="_Order2">255</definedName>
    <definedName name="_pdp1">[7]소요자재!$H$50</definedName>
    <definedName name="_PDP2">[7]소요자재!$H$112</definedName>
    <definedName name="_PDP3">[7]소요자재!$H$140</definedName>
    <definedName name="_SMART_SCSIarray">[2]Supplement2!#REF!</definedName>
    <definedName name="_Sort">[6]명세서!$A$7:$N$581</definedName>
    <definedName name="_STR2020">[9]LANGUAGE!$B$40</definedName>
    <definedName name="_STR2021">[9]LANGUAGE!$B$41</definedName>
    <definedName name="_STR2022">[9]LANGUAGE!$B$42</definedName>
    <definedName name="_STR2023">[9]LANGUAGE!$B$43</definedName>
    <definedName name="_STR2024">[9]LANGUAGE!$B$44</definedName>
    <definedName name="AA형">[7]소요자재!$H$127</definedName>
    <definedName name="adapter">[7]소요자재!$H$171</definedName>
    <definedName name="ALNCARD이설">[10]단가표!#REF!</definedName>
    <definedName name="ASP">[11]참고!$A$2:$IV$13</definedName>
    <definedName name="ASYN">[7]소요자재!$H$144</definedName>
    <definedName name="A형">[7]소요자재!$H$15</definedName>
    <definedName name="band2">[12]내역서!#REF!</definedName>
    <definedName name="bb">[13]일위대가표!#REF!</definedName>
    <definedName name="BB형">[7]소요자재!$H$128</definedName>
    <definedName name="Blank">" "</definedName>
    <definedName name="BLANK1">[7]소요자재!$H$82</definedName>
    <definedName name="BLANK2">[7]소요자재!$H$83</definedName>
    <definedName name="BYTE">[7]소요자재!$H$53</definedName>
    <definedName name="B형">[7]소요자재!$H$16</definedName>
    <definedName name="cbl">[12]내역서!#REF!</definedName>
    <definedName name="cbn">[12]내역서!#REF!</definedName>
    <definedName name="CC형">[7]소요자재!$H$129</definedName>
    <definedName name="Chart_1">"Chart 1"</definedName>
    <definedName name="CHASSIS">[7]소요자재!$H$52</definedName>
    <definedName name="COMPAQ_LIST">'[14]COMPAQ-LIST'!$A:$A</definedName>
    <definedName name="COMPAQ_RANGE">'[14]COMPAQ-LIST'!$A:$C</definedName>
    <definedName name="CORE융착접속">[7]노무산출서!$H$53</definedName>
    <definedName name="CPEV케이블">[7]소요자재!$H$186</definedName>
    <definedName name="CSU">[7]소요자재!$H$168</definedName>
    <definedName name="C형">[7]소요자재!$H$17</definedName>
    <definedName name="D1S">[7]소요자재!$H$72</definedName>
    <definedName name="D3S">[7]소요자재!$H$71</definedName>
    <definedName name="DazzlerPCI_array">[2]Supplement2!#REF!</definedName>
    <definedName name="DC">'[15]LH3 동양시스템'!$J$35</definedName>
    <definedName name="dd">[13]일위대가표!#REF!</definedName>
    <definedName name="DD형">[7]소요자재!$H$130</definedName>
    <definedName name="DS1E">[7]소요자재!$H$73</definedName>
    <definedName name="D형">[7]소요자재!$H$18</definedName>
    <definedName name="ECARD">[7]소요자재!$H$142</definedName>
    <definedName name="ee">[13]일위대가표!#REF!</definedName>
    <definedName name="EE형">[7]소요자재!$H$131</definedName>
    <definedName name="EI_A">IF( OR(AND(#REF!&lt;2,#REF!&gt;50), AND(AND(#REF!&gt;=2,#REF!&lt;=5), AND(#REF!&gt;= 20,#REF!&lt;= 50)), AND(#REF!&gt;5, AND(#REF!&gt;= 1,#REF!&lt;= 19)) ),1,0)</definedName>
    <definedName name="EI_C">IF( OR(AND(AND(#REF!&gt;=2,#REF!&lt;=5),#REF!&gt; 50), AND(#REF!&gt;5,#REF!&gt;=  20) ),1,0)</definedName>
    <definedName name="EI_S">IF( OR(AND(#REF!&lt;2, AND(#REF!&gt;= 1,#REF!&lt;= 50)), AND(AND(#REF!&gt;=2,#REF!&lt;=5), AND(#REF!&gt;= 1,#REF!&lt;= 19)) ),1,0)</definedName>
    <definedName name="Est_Eff_MDay">[16]FPA!#REF!</definedName>
    <definedName name="E형">[7]소요자재!$H$19</definedName>
    <definedName name="ff">[13]일위대가표!#REF!</definedName>
    <definedName name="fff">BLCH</definedName>
    <definedName name="FF형">[7]소요자재!$H$132</definedName>
    <definedName name="fhigr">[18]!BlankMacro1</definedName>
    <definedName name="FHIGR1">[18]!BlankMacro1</definedName>
    <definedName name="FT_A">IF( OR(AND(#REF!&lt;2,#REF!&gt;50), AND(AND(#REF!&gt;=2,#REF!&lt;=5), AND(#REF!&gt;= 20,#REF!&lt;= 50)), AND(#REF!&gt;5, AND(#REF!&gt;= 1,#REF!&lt;= 19)) ),1,0)</definedName>
    <definedName name="FT_C">IF( OR(AND(AND(#REF!&gt;=2,#REF!&lt;=5),#REF!&gt; 50), AND(#REF!&gt;5,#REF!&gt;=  20) ),1,0)</definedName>
    <definedName name="FT_S">IF( OR(AND(#REF!&lt;2, AND(#REF!&gt;= 1,#REF!&lt;= 50)), AND(AND(#REF!&gt;=2,#REF!&lt;=5), AND(#REF!&gt;= 1,#REF!&lt;= 19)) ),1,0)</definedName>
    <definedName name="F형">[7]소요자재!$H$37</definedName>
    <definedName name="G1외피접속">[19]노무산출서!#REF!</definedName>
    <definedName name="gbi">[20]장비분!$H$137</definedName>
    <definedName name="gbi_d">[21]명세서!$H$158</definedName>
    <definedName name="gbi_d_an">'[19]설계명세서(종합)'!#REF!</definedName>
    <definedName name="gbi_d_bo">'[19]설계명세서(종합)'!#REF!</definedName>
    <definedName name="gbi_d_gong">'[19]설계명세서(종합)'!#REF!</definedName>
    <definedName name="gbi_d_su">'[19]설계명세서(종합)'!#REF!</definedName>
    <definedName name="gbi_d_yeo">'[19]설계명세서(종합)'!#REF!</definedName>
    <definedName name="gbi_s">[21]명세서!$H$145</definedName>
    <definedName name="gbi_s_01">'[19]설계명세서(종합)'!#REF!</definedName>
    <definedName name="gbi_s_02">'[19]설계명세서(종합)'!#REF!</definedName>
    <definedName name="gbi_s_03">'[19]설계명세서(종합)'!#REF!</definedName>
    <definedName name="gbi_s_05">'[19]설계명세서(종합)'!#REF!</definedName>
    <definedName name="gbi_s_07">'[19]설계명세서(종합)'!#REF!</definedName>
    <definedName name="gg">[13]일위대가표!#REF!</definedName>
    <definedName name="G형">[7]소요자재!$H$38</definedName>
    <definedName name="hh">[13]일위대가표!#REF!</definedName>
    <definedName name="HTML_CodePage">949</definedName>
    <definedName name="HTML_Control">{"'용역비'!$A$4:$C$8"}</definedName>
    <definedName name="HTML_Description">""</definedName>
    <definedName name="HTML_Email">""</definedName>
    <definedName name="HTML_Header">"용역비"</definedName>
    <definedName name="HTML_LastUpdate">"99-07-01"</definedName>
    <definedName name="HTML_LineAfter">FALSE</definedName>
    <definedName name="HTML_LineBefore">FALSE</definedName>
    <definedName name="HTML_Name">"전산실"</definedName>
    <definedName name="HTML_OBDlg2">TRUE</definedName>
    <definedName name="HTML_OBDlg4">TRUE</definedName>
    <definedName name="HTML_OS">0</definedName>
    <definedName name="HTML_PathFile">"C:\My Documents\MyHTML.htm"</definedName>
    <definedName name="HTML_Title">"전체금액"</definedName>
    <definedName name="H형">[7]소요자재!$H$39</definedName>
    <definedName name="idf">[7]소요자재!$H$27</definedName>
    <definedName name="ilb">[20]장비분!$H$143</definedName>
    <definedName name="Index">'[22]Data Vol'!$B$6:$E$6816</definedName>
    <definedName name="IT_A">IF( OR(AND(#REF!&lt;2,#REF!&gt;15), AND(#REF!=2, AND(#REF!&gt;= 5,#REF!&lt;= 15)), AND(#REF!&gt;2, AND(#REF!&gt;=1,#REF!&lt;= 4)) ),1,0)</definedName>
    <definedName name="IT_C">IF( OR(AND(#REF!=2,#REF!&gt; 15), AND(#REF!&gt;2,#REF!&gt;=  5) ),1,0)</definedName>
    <definedName name="IT_S">IF( OR(AND(#REF!&lt;2, AND(#REF!&gt;= 1,#REF!&lt;= 15)), AND(#REF!=2, AND(#REF!&gt;= 1,#REF!&lt;= 4)) ),1,0)</definedName>
    <definedName name="itsa_ratio_nrec">[23]공수견적!#REF!</definedName>
    <definedName name="itsa_ratio_rec">[16]순수개발!#REF!</definedName>
    <definedName name="iun">[20]장비분!$H$147</definedName>
    <definedName name="I형">[7]소요자재!$H$40</definedName>
    <definedName name="I형행가">[7]소요자재!$H$232</definedName>
    <definedName name="I형행가1">[7]소요자재!$H$233</definedName>
    <definedName name="I형행가설치">[7]노무산출서!$H$93</definedName>
    <definedName name="jae">[21]명세서!$H$63</definedName>
    <definedName name="jae_b">'[19]설계명세서(종합)'!#REF!</definedName>
    <definedName name="jae_d">[20]장비분!$H$55</definedName>
    <definedName name="jae_gong">'[19]설계명세서(종합)'!#REF!</definedName>
    <definedName name="jae_s">[12]내역서!#REF!</definedName>
    <definedName name="jb">[12]내역서!#REF!</definedName>
    <definedName name="J형">[7]소요자재!$H$41</definedName>
    <definedName name="LANCARD이설">[24]단가표!#REF!</definedName>
    <definedName name="lee">[25]cost!$A$2:$L$273</definedName>
    <definedName name="LineDetailBox">"Group Box 84"</definedName>
    <definedName name="MDL">'[26]10월가격'!$A:$A</definedName>
    <definedName name="MODEM1">[7]소요자재!$H$147</definedName>
    <definedName name="MODEM10">[19]소요자재!#REF!</definedName>
    <definedName name="MODEM11">[19]소요자재!#REF!</definedName>
    <definedName name="MODEM12">[19]소요자재!#REF!</definedName>
    <definedName name="MODEM13">[19]소요자재!#REF!</definedName>
    <definedName name="MODEM14">[19]소요자재!#REF!</definedName>
    <definedName name="MODEM15">[19]소요자재!#REF!</definedName>
    <definedName name="MODEM2">[7]소요자재!$H$148</definedName>
    <definedName name="MODEM3">[19]소요자재!#REF!</definedName>
    <definedName name="MODEM4">[19]소요자재!#REF!</definedName>
    <definedName name="MODEM5">[19]소요자재!#REF!</definedName>
    <definedName name="MODEM6">[19]소요자재!#REF!</definedName>
    <definedName name="MODEM7">[19]소요자재!#REF!</definedName>
    <definedName name="MODEM8">[19]소요자재!#REF!</definedName>
    <definedName name="MODEM9">[19]소요자재!#REF!</definedName>
    <definedName name="MUX3240B형">[7]소요자재!$H$124</definedName>
    <definedName name="NI">[27]노임!$A:$B</definedName>
    <definedName name="NIU">[7]소요자재!$H$114</definedName>
    <definedName name="NOIM">[27]노임!$A$1:$B$17</definedName>
    <definedName name="nomu">[20]장비분!$H$114</definedName>
    <definedName name="nomu_g">[21]명세서!$H$135</definedName>
    <definedName name="nomu_j">[21]명세서!$H$131</definedName>
    <definedName name="OC1형">[7]소요자재!$H$30</definedName>
    <definedName name="OC2형">[7]소요자재!$H$31</definedName>
    <definedName name="OC3형">[7]소요자재!$H$32</definedName>
    <definedName name="OIU">[7]소요자재!$H$117</definedName>
    <definedName name="OIUNIU">[7]소요자재!$H$116</definedName>
    <definedName name="OPTICMODEM">[7]소요자재!$H$146</definedName>
    <definedName name="OPTION_PN">[28]OPT!$A$1:$A$65536</definedName>
    <definedName name="OPTION_TOTAL">[28]OPT!$A$1:$E$65536</definedName>
    <definedName name="OrdLinNo">"Edit Box 5"</definedName>
    <definedName name="OT_A">IF( OR(AND(#REF!&lt;2,#REF!&gt;19), AND(AND(#REF!&gt;=2,#REF!&lt;= 3), AND(#REF!&gt;= 6,#REF!&lt;= 19)), AND(#REF!&gt;3, AND(#REF!&gt;= 1,#REF!&lt;= 5)) ),1,0)</definedName>
    <definedName name="OT_C">IF( OR(AND(AND(#REF!&gt;=2,#REF!&lt;=3),#REF!&gt; 19), AND(#REF!&gt;3,#REF!&gt;=  6) ),1,0)</definedName>
    <definedName name="OT_S">IF( OR(AND(#REF!&lt;2, AND(#REF!&gt;= 1,#REF!&lt;= 19)), AND(AND(#REF!&gt;=2,#REF!&lt;=3), AND(#REF!&gt;= 1,#REF!&lt;= 5)) ),1,0)</definedName>
    <definedName name="OTRU">[7]소요자재!$H$75</definedName>
    <definedName name="P90061755DISCOUNT">[29]PART_DISCOUNT!$E$22</definedName>
    <definedName name="P90065755DISCOUNT">[29]PART_DISCOUNT!$E$21</definedName>
    <definedName name="P90152455DISCOUNT">[29]PART_DISCOUNT!$E$20</definedName>
    <definedName name="P90270755DISCOUNT">[29]PART_DISCOUNT!$E$19</definedName>
    <definedName name="P90317655DISCOUNT">[29]PART_DISCOUNT!$E$14</definedName>
    <definedName name="P90458255DISCOUNT">[29]PART_DISCOUNT!$E$17</definedName>
    <definedName name="P90464555DISCOUNT">[29]PART_DISCOUNT!$E$16</definedName>
    <definedName name="P90464655DISCOUNT">[29]PART_DISCOUNT!$E$15</definedName>
    <definedName name="P90493155DISCOUNT">[29]PART_DISCOUNT!$E$18</definedName>
    <definedName name="PCM국내케이블">[7]소요자재!$H$178</definedName>
    <definedName name="PCM국내케이블포설">[7]노무산출서!$H$29</definedName>
    <definedName name="PCM케이블선단">[19]노무산출서!#REF!</definedName>
    <definedName name="PCM케이블성단">[7]노무산출서!$H$28</definedName>
    <definedName name="PE전선관">[7]노무산출서!$H$42</definedName>
    <definedName name="PE전선관1">[7]노무산출서!$H$43</definedName>
    <definedName name="PE전선관2">[7]노무산출서!$H$44</definedName>
    <definedName name="PL_storage">[2]Supplement2!#REF!</definedName>
    <definedName name="PN">'[30]Upgrades pricing'!#REF!</definedName>
    <definedName name="PRINT_AREA_MI">[6]명세서!$A$1:$H$39</definedName>
    <definedName name="print_net">[31]!print_net</definedName>
    <definedName name="PVC2공">[7]소요자재!$H$222</definedName>
    <definedName name="PVC곡관">[7]소요자재!$H$223</definedName>
    <definedName name="QQ">{#N/A,#N/A,FALSE,"3가";#N/A,#N/A,FALSE,"3나";#N/A,#N/A,FALSE,"3다"}</definedName>
    <definedName name="QT_A">IF( OR(AND(#REF!&lt;2,#REF!&gt;19), AND(AND(#REF!&gt;=2,#REF!&lt;= 3), AND(#REF!&gt;= 6,#REF!&lt;= 19)), AND(#REF!&gt;3, AND(#REF!&gt;= 1,#REF!&lt;= 5)) ),1,0)</definedName>
    <definedName name="QT_C">IF( OR(AND(AND(#REF!&gt;=2,#REF!&lt;=3),#REF!&gt; 19), AND(#REF!&gt;3,#REF!&gt;=  6) ),1,0)</definedName>
    <definedName name="QT_S">IF( OR(AND(#REF!&lt;2, AND(#REF!&gt;= 1,#REF!&lt;= 19)), AND(AND(#REF!&gt;=2,#REF!&lt;=3), AND(#REF!&gt;= 1,#REF!&lt;= 5)) ),1,0)</definedName>
    <definedName name="QUADE1">[7]소요자재!$H$56</definedName>
    <definedName name="QUADT1">[7]소요자재!$H$55</definedName>
    <definedName name="rack">[12]내역서!#REF!</definedName>
    <definedName name="rack18001">[7]소요자재!$H$43</definedName>
    <definedName name="rack22001">[7]소요자재!$H$44</definedName>
    <definedName name="RNG">'[26]10월가격'!$A:$D</definedName>
    <definedName name="RUWJ">{#N/A,#N/A,FALSE,"3가";#N/A,#N/A,FALSE,"3나";#N/A,#N/A,FALSE,"3다"}</definedName>
    <definedName name="Scorpion_M2_processor">[2]Supplement2!#REF!</definedName>
    <definedName name="Seawolf_M2_processor">[2]Supplement2!#REF!</definedName>
    <definedName name="select_bg">[31]!select_bg</definedName>
    <definedName name="select_gg">[31]!select_gg</definedName>
    <definedName name="select_gi">[31]!select_gi</definedName>
    <definedName name="select_gjj3">[31]!select_gjj3</definedName>
    <definedName name="select_gjp">[31]!select_gjp</definedName>
    <definedName name="SERVER_PN">[28]SV!$A$1:$A$65536</definedName>
    <definedName name="SERVER_TOTAL">[28]SV!$A$1:$E$65536</definedName>
    <definedName name="SFV440_SE3310">{"'경찰병원 (2)'!$A$4:$U$9"}</definedName>
    <definedName name="sgj">'[19]설계명세서(종합)'!#REF!</definedName>
    <definedName name="SM">'[32]model master'!$A$2:$A$65</definedName>
    <definedName name="Sturgeon_M2_processor">[2]Supplement2!#REF!</definedName>
    <definedName name="SVR">'[32]model master'!$A$2:$R$65</definedName>
    <definedName name="T1카드">[7]소요자재!$H$10</definedName>
    <definedName name="TABLE">[33]총괄집계표!#REF!</definedName>
    <definedName name="TCARD">[7]소요자재!$H$141</definedName>
    <definedName name="tot">'[19]설계명세서(종합)'!#REF!</definedName>
    <definedName name="tot_a">[34]선로분!$H$158</definedName>
    <definedName name="tot_d">'[19]설계명세서(종합)'!#REF!</definedName>
    <definedName name="tot_s">'[19]설계명세서(종합)'!#REF!</definedName>
    <definedName name="TStorm_M2_Processor">[2]Supplement2!#REF!</definedName>
    <definedName name="UNIA형">[7]소요자재!$H$99</definedName>
    <definedName name="UNIB형">[7]소요자재!$H$100</definedName>
    <definedName name="UNIC형">[7]소요자재!$H$101</definedName>
    <definedName name="UNID형">[7]소요자재!$H$102</definedName>
    <definedName name="UNIE형">[7]소요자재!$H$103</definedName>
    <definedName name="UNIF형">[7]소요자재!$H$104</definedName>
    <definedName name="V.35">[7]소요자재!$H$54</definedName>
    <definedName name="V35CARD">[7]소요자재!$H$143</definedName>
    <definedName name="WorkbookName">"MSOPER.XLS"</definedName>
    <definedName name="wrn.TEST.">{#N/A,#N/A,FALSE,"3가";#N/A,#N/A,FALSE,"3나";#N/A,#N/A,FALSE,"3다"}</definedName>
    <definedName name="wrn.수익분석.">{#N/A,#N/A,FALSE,"IPL"}</definedName>
    <definedName name="zzz">BLCH</definedName>
    <definedName name="ㄱㄱㄱ">[6]명세서!$A$1:$H$39</definedName>
    <definedName name="가공24C">[7]소요자재!$H$157</definedName>
    <definedName name="가공36C">[7]소요자재!$H$158</definedName>
    <definedName name="가공48C">[7]소요자재!$H$159</definedName>
    <definedName name="가공6C">[7]소요자재!$H$155</definedName>
    <definedName name="가공명찰취부">[7]노무산출서!$H$58</definedName>
    <definedName name="간노1">'[35]설계명세서 (장비)'!#REF!</definedName>
    <definedName name="강관">[7]소요자재!$H$190</definedName>
    <definedName name="강관주건주">[7]노무산출서!$H$87</definedName>
    <definedName name="강제간선">[7]노무산출서!$H$46</definedName>
    <definedName name="개발공정">[36]setup!$Q$4:$Q$10</definedName>
    <definedName name="개발언어">[37]setup!$T$4:$T$33</definedName>
    <definedName name="견인선1">[7]노무산출서!$H$98</definedName>
    <definedName name="경비1">[3]설계명세서!#REF!</definedName>
    <definedName name="경비2">'[38]설계명세(선로분)'!$H$126</definedName>
    <definedName name="고급기술">[39]심사물량!$C$4</definedName>
    <definedName name="고용1">[3]설계명세서!#REF!</definedName>
    <definedName name="공구1">[3]설계명세서!#REF!</definedName>
    <definedName name="공리일공제">'[19]설계명세서(종합)'!#REF!</definedName>
    <definedName name="공수1">BLCH</definedName>
    <definedName name="공종">[40]공종!$A$2:$F$1241</definedName>
    <definedName name="관로공사1">[19]소요자재!#REF!</definedName>
    <definedName name="관로공사2">[19]소요자재!#REF!</definedName>
    <definedName name="관로공사3">[19]소요자재!#REF!</definedName>
    <definedName name="관로공사4">[19]소요자재!#REF!</definedName>
    <definedName name="관로구삽입형방수">[7]노무산출서!$H$95</definedName>
    <definedName name="관로구삽입형방수장치">[7]소요자재!$H$234</definedName>
    <definedName name="광분배1">[7]소요자재!$H$107</definedName>
    <definedName name="광분배2">[7]소요자재!$H$108</definedName>
    <definedName name="광분배3">[7]소요자재!$H$109</definedName>
    <definedName name="광분배함1">[19]소요자재!#REF!</definedName>
    <definedName name="광분배함2">[19]소요자재!#REF!</definedName>
    <definedName name="광분배함3">[19]소요자재!#REF!</definedName>
    <definedName name="광분배함4">[19]소요자재!#REF!</definedName>
    <definedName name="광분배함5">[19]소요자재!#REF!</definedName>
    <definedName name="광분배함6">[19]소요자재!#REF!</definedName>
    <definedName name="광분배함7">[19]소요자재!#REF!</definedName>
    <definedName name="광분배함8">[19]소요자재!#REF!</definedName>
    <definedName name="광분배함취부">[7]노무산출서!$H$19</definedName>
    <definedName name="광수신감도축정">[19]노무산출서!#REF!</definedName>
    <definedName name="광수신감도측정">[7]노무산출서!$H$10</definedName>
    <definedName name="광아답터">[19]소요자재!#REF!</definedName>
    <definedName name="광원파장측정">[7]노무산출서!$H$8</definedName>
    <definedName name="광점퍼코드1">[7]소요자재!$H$173</definedName>
    <definedName name="광점퍼코드2">[7]소요자재!$H$174</definedName>
    <definedName name="광점퍼코드3">[7]소요자재!$H$175</definedName>
    <definedName name="광접속함체설치">[7]노무산출서!$H$51</definedName>
    <definedName name="구내접지선">[7]소요자재!$H$182</definedName>
    <definedName name="구내접지선1">[7]소요자재!$H$183</definedName>
    <definedName name="구내접지선2">[7]소요자재!$H$184</definedName>
    <definedName name="굴착공사1">[7]소요자재!$H$238</definedName>
    <definedName name="굴착공사2">[7]소요자재!$H$239</definedName>
    <definedName name="굴착공사3">[7]소요자재!$H$240</definedName>
    <definedName name="굴착공사4">[7]소요자재!$H$241</definedName>
    <definedName name="굴착공사5">[7]노무산출서!$H$101</definedName>
    <definedName name="굴착공사6">[7]노무산출서!$H$102</definedName>
    <definedName name="굴착공사7">[7]노무산출서!$H$103</definedName>
    <definedName name="굴착공사8">[7]노무산출서!$H$104</definedName>
    <definedName name="규모산정방식">[36]setup!$R$4:$R$5</definedName>
    <definedName name="기능점수방식">[36]setup!$S$4:$S$5</definedName>
    <definedName name="기술료율">[41]입력변수!$D$37</definedName>
    <definedName name="기존부문업무관리연계정보관리">'[42]별첨 #1-1. 각기능별개발원가'!#REF!</definedName>
    <definedName name="기존부문재정분석_군수지휘정보">'[42]별첨 #1-1. 각기능별개발원가'!#REF!</definedName>
    <definedName name="기존부문전자결재연계정보관리">'[42]별첨 #1-1. 각기능별개발원가'!#REF!</definedName>
    <definedName name="ㄴ">BLCH</definedName>
    <definedName name="ㄴㅂ">BlankMacro1</definedName>
    <definedName name="ㄴㅇ">{#N/A,#N/A,FALSE,"3가";#N/A,#N/A,FALSE,"3나";#N/A,#N/A,FALSE,"3다"}</definedName>
    <definedName name="난연전선관">[7]소요자재!$H$188</definedName>
    <definedName name="노계1">BLCH</definedName>
    <definedName name="노임단가1">'[43]6. 직접경비'!#REF!</definedName>
    <definedName name="노집1">BLCH</definedName>
    <definedName name="녹음기">BlankMacro1</definedName>
    <definedName name="단가산출">[44]단가산출!$A$1:$G$53</definedName>
    <definedName name="단가조사">[45]단가산출!$A$1:$G$318</definedName>
    <definedName name="단독">[7]소요자재!$H$139</definedName>
    <definedName name="도경1">'[35]설계명세서 (장비)'!#REF!</definedName>
    <definedName name="도급1">'[46]설계명세서 (장비)'!#REF!</definedName>
    <definedName name="도급경비1">[3]설계명세서!#REF!</definedName>
    <definedName name="도급계1">[3]설계명세서!#REF!</definedName>
    <definedName name="도급재료1">[3]설계명세서!#REF!</definedName>
    <definedName name="도급재료5">[3]설계명세서!#REF!</definedName>
    <definedName name="도서1">[3]설계명세서!#REF!</definedName>
    <definedName name="랙1">[19]소요자재!#REF!</definedName>
    <definedName name="랙2">[19]소요자재!#REF!</definedName>
    <definedName name="랙20">[7]소요자재!$H$133</definedName>
    <definedName name="랙21">[7]소요자재!$H$134</definedName>
    <definedName name="랙3">[19]소요자재!#REF!</definedName>
    <definedName name="랙4">[19]소요자재!#REF!</definedName>
    <definedName name="ㅁ">BLCH</definedName>
    <definedName name="ㅁ100">[6]명세서!#REF!</definedName>
    <definedName name="ㅁㄴㅇ">'[15]LH3 동양시스템'!$J$35</definedName>
    <definedName name="ㅁㅁㅁ">{"'용역비'!$A$4:$C$8"}</definedName>
    <definedName name="먹스">[19]소요자재!#REF!</definedName>
    <definedName name="먹스1">[7]소요자재!$H$8</definedName>
    <definedName name="먹스2">[7]소요자재!$H$9</definedName>
    <definedName name="바보">[47]I一般比!#REF!</definedName>
    <definedName name="반경관취부밴드">[7]소요자재!$H$221</definedName>
    <definedName name="반송쉴드케이블">[7]소요자재!$H$177</definedName>
    <definedName name="반송쉴드케이블포선남땜">[7]노무산출서!$H$27</definedName>
    <definedName name="반송쉴드케이블포설">[19]노무산출서!#REF!</definedName>
    <definedName name="발포지수제">[7]소요자재!$H$235</definedName>
    <definedName name="발포지수제분사처리">[7]노무산출서!$H$96</definedName>
    <definedName name="밧데리">[48]밧데리!$B$2:$C$24</definedName>
    <definedName name="밧데리1">[19]소요자재!#REF!</definedName>
    <definedName name="밧데리2">[19]소요자재!#REF!</definedName>
    <definedName name="백강관배관_Sheet2_List">'[6]1.1서버도입'!#REF!</definedName>
    <definedName name="변경내역">{#N/A,#N/A,FALSE,"3가";#N/A,#N/A,FALSE,"3나";#N/A,#N/A,FALSE,"3다"}</definedName>
    <definedName name="보">{#N/A,#N/A,FALSE,"3가";#N/A,#N/A,FALSE,"3나";#N/A,#N/A,FALSE,"3다"}</definedName>
    <definedName name="보통인부노임">[49]일위대가표지!$G$43</definedName>
    <definedName name="복리1">[3]설계명세서!#REF!</definedName>
    <definedName name="본구분">[50]Transaction!$AY$12:$AY$15</definedName>
    <definedName name="부산">{#N/A,#N/A,FALSE,"3가";#N/A,#N/A,FALSE,"3나";#N/A,#N/A,FALSE,"3다"}</definedName>
    <definedName name="비교">[51]일위대가!$A$5:$F$3312</definedName>
    <definedName name="비닐바인드선">[7]소요자재!$H$213</definedName>
    <definedName name="사1">'[52]257A1'!$E$68</definedName>
    <definedName name="사10">'[52]257A1'!$AF$68</definedName>
    <definedName name="사11">'[52]257A1'!$AI$68</definedName>
    <definedName name="사12">'[52]257A1'!$AL$68</definedName>
    <definedName name="사13">'[52]257A1'!$AO$68</definedName>
    <definedName name="사14">'[52]257A1'!$AR$68</definedName>
    <definedName name="사15">'[52]257A1'!$G$70</definedName>
    <definedName name="사2">'[52]257A1'!$H$68</definedName>
    <definedName name="사3">'[52]257A1'!$K$68</definedName>
    <definedName name="사4">'[52]257A1'!$N$68</definedName>
    <definedName name="사5">'[52]257A1'!$Q$68</definedName>
    <definedName name="사6">'[52]257A1'!$T$68</definedName>
    <definedName name="사7">'[52]257A1'!$W$68</definedName>
    <definedName name="사8">'[52]257A1'!$Z$68</definedName>
    <definedName name="사9">'[52]257A1'!$AC$68</definedName>
    <definedName name="사a">'[52]257A1'!$J$65</definedName>
    <definedName name="사b">'[52]257A1'!$K$64</definedName>
    <definedName name="사c">'[52]257A1'!$N$64</definedName>
    <definedName name="사d">'[52]257A1'!$Q$64</definedName>
    <definedName name="사e">'[52]257A1'!$N$62</definedName>
    <definedName name="사f">'[52]257A1'!$V$71</definedName>
    <definedName name="사g">'[52]257A1'!$W$74</definedName>
    <definedName name="사h">'[52]257A1'!$AT$65</definedName>
    <definedName name="사I">'[52]257A1'!$AQ$70</definedName>
    <definedName name="사j">'[52]257A1'!$AU$68</definedName>
    <definedName name="사k">'[52]257A1'!$AU$64</definedName>
    <definedName name="사r">'[52]257A1'!#REF!</definedName>
    <definedName name="사경1">'[35]설계명세서 (장비)'!#REF!</definedName>
    <definedName name="사급경비1">[3]설계명세서!#REF!</definedName>
    <definedName name="사급재료1">[3]설계명세서!#REF!</definedName>
    <definedName name="사리도밑면">[11]사리도!$D$13</definedName>
    <definedName name="사업부">[36]setup!$A$4:$A$11</definedName>
    <definedName name="사업소재료비">'[53]20_10_100'!#REF!</definedName>
    <definedName name="사업팀">[36]setup!$A$22:$A$30</definedName>
    <definedName name="사재1">'[46]설계명세서 (장비)'!#REF!</definedName>
    <definedName name="산재1">[3]설계명세서!#REF!</definedName>
    <definedName name="삼1">'[52]257A1'!$E$50</definedName>
    <definedName name="삼10">'[52]257A1'!$AF$50</definedName>
    <definedName name="삼11">'[52]257A1'!$AI$50</definedName>
    <definedName name="삼12">'[52]257A1'!$AL$50</definedName>
    <definedName name="삼13">'[52]257A1'!$AO$50</definedName>
    <definedName name="삼14">'[52]257A1'!$P$46</definedName>
    <definedName name="삼15">'[52]257A1'!$S$52</definedName>
    <definedName name="삼2">'[52]257A1'!$H$50</definedName>
    <definedName name="삼3">'[52]257A1'!$K$50</definedName>
    <definedName name="삼4">'[52]257A1'!$N$50</definedName>
    <definedName name="삼5">'[52]257A1'!$Q$50</definedName>
    <definedName name="삼6">'[52]257A1'!$T$50</definedName>
    <definedName name="삼7">'[52]257A1'!$W$50</definedName>
    <definedName name="삼8">'[52]257A1'!$Z$50</definedName>
    <definedName name="삼9">'[52]257A1'!$AC$50</definedName>
    <definedName name="삼a">'[52]257A1'!$AB$46</definedName>
    <definedName name="삼b">'[52]257A1'!$AB$53</definedName>
    <definedName name="삼c">'[52]257A1'!$AC$56</definedName>
    <definedName name="삼d">'[52]257A1'!$AF$45</definedName>
    <definedName name="삼e">'[52]257A1'!$AI$44</definedName>
    <definedName name="삼f">'[52]257A1'!$AI$46</definedName>
    <definedName name="삼g">'[52]257A1'!$AK$52</definedName>
    <definedName name="서버">[54]PLT8500!$A$2:$W$30</definedName>
    <definedName name="서버PL">[54]PLT8500!$A$2:$A$30</definedName>
    <definedName name="서버번호">#REF!,#REF!,#REF!,#REF!,#REF!,#REF!,#REF!,#REF!,#REF!,#REF!,#REF!,#REF!,#REF!</definedName>
    <definedName name="설치시공">'[19]설계명세서(종합)'!#REF!</definedName>
    <definedName name="세금1">[3]설계명세서!#REF!</definedName>
    <definedName name="소모1">'[35]설계명세서 (장비)'!#REF!</definedName>
    <definedName name="소모품1">[3]설계명세서!#REF!</definedName>
    <definedName name="송신광출력작성">[7]노무산출서!$H$9</definedName>
    <definedName name="수도1">[3]설계명세서!#REF!</definedName>
    <definedName name="수량">'[40]집계(702)'!$A$3:$I$396</definedName>
    <definedName name="스파이라슬리브가공">[19]노무산출서!#REF!</definedName>
    <definedName name="스파이랄슬리브1">[7]소요자재!$H$200</definedName>
    <definedName name="스파이랄슬리브2">[7]소요자재!$H$199</definedName>
    <definedName name="스파이랄슬리브가공">[7]노무산출서!$H$62</definedName>
    <definedName name="스파이랄슬리브지중">[7]노무산출서!$H$63</definedName>
    <definedName name="시험성적서작성">[7]노무산출서!$H$7</definedName>
    <definedName name="시험작성서작서">[19]노무산출서!#REF!</definedName>
    <definedName name="신규부문업무관리연계정보관리">'[42]별첨 #1-1. 각기능별개발원가'!#REF!</definedName>
    <definedName name="신규부문재정분석_군수지휘정보">'[42]별첨 #1-1. 각기능별개발원가'!#REF!</definedName>
    <definedName name="신규부문전자결재연계정보관리">'[42]별첨 #1-1. 각기능별개발원가'!#REF!</definedName>
    <definedName name="신설통계">{#N/A,#N/A,FALSE,"3가";#N/A,#N/A,FALSE,"3나";#N/A,#N/A,FALSE,"3다"}</definedName>
    <definedName name="써비스컨넥타">[7]소요자재!$H$215</definedName>
    <definedName name="ㅇㄹ">BLCH</definedName>
    <definedName name="ㅇㅀㅇㅁㄹ">{#N/A,#N/A,FALSE,"3가";#N/A,#N/A,FALSE,"3나";#N/A,#N/A,FALSE,"3다"}</definedName>
    <definedName name="ㅇㅇ">'[55]원본(갑지)'!$A$1:$N$62</definedName>
    <definedName name="아이디에프">[7]소요자재!$H$110</definedName>
    <definedName name="아이디에프1">[7]소요자재!$H$111</definedName>
    <definedName name="안전1">[3]설계명세서!#REF!</definedName>
    <definedName name="알어러">BLCH</definedName>
    <definedName name="암타이밴드">[7]소요자재!$H$204</definedName>
    <definedName name="앙카볼트">[7]소요자재!$H$192</definedName>
    <definedName name="앙카볼트설치">[7]노무산출서!$H$48</definedName>
    <definedName name="어플리케이션명">[36]setup!#REF!</definedName>
    <definedName name="어플리케이션유형">[37]setup!$Q$16:$Q$23</definedName>
    <definedName name="어ㅏ아">BLCH</definedName>
    <definedName name="여비1">[3]설계명세서!#REF!</definedName>
    <definedName name="열수축슬리브">[7]소요자재!$H$201</definedName>
    <definedName name="열수축슬리브1">[7]소요자재!$H$172</definedName>
    <definedName name="오1">'[52]257A1'!$N$81</definedName>
    <definedName name="오2">'[52]257A1'!$Q$81</definedName>
    <definedName name="오3">'[52]257A1'!$T$81</definedName>
    <definedName name="오4">'[52]257A1'!$W$80</definedName>
    <definedName name="오5">'[52]257A1'!$W$82</definedName>
    <definedName name="오6">'[52]257A1'!$J$83</definedName>
    <definedName name="오페디1">[7]소요자재!$H$135</definedName>
    <definedName name="오페디2">[7]소요자재!$H$136</definedName>
    <definedName name="오페디3">[7]소요자재!$H$137</definedName>
    <definedName name="옥내접지">[7]노무산출서!$H$34</definedName>
    <definedName name="옥내케이블시설">[7]노무산출서!$H$38</definedName>
    <definedName name="완금U볼트">[7]소요자재!$H$211</definedName>
    <definedName name="위험표시찰">[7]소요자재!$H$198</definedName>
    <definedName name="위험표시찰취부">[7]노무산출서!$H$60</definedName>
    <definedName name="유니1">[7]소요자재!$H$95</definedName>
    <definedName name="유니2">[7]소요자재!$H$96</definedName>
    <definedName name="유니3">[19]소요자재!#REF!</definedName>
    <definedName name="유니랙">[7]소요자재!$H$105</definedName>
    <definedName name="유니랙1">[7]소요자재!$H$106</definedName>
    <definedName name="육1">'[52]257A1'!$E$91</definedName>
    <definedName name="육10">'[52]257A1'!$AF$91</definedName>
    <definedName name="육11">'[52]257A1'!$AI$91</definedName>
    <definedName name="육12">'[52]257A1'!$AL$91</definedName>
    <definedName name="육13">'[52]257A1'!$S$88</definedName>
    <definedName name="육14">'[52]257A1'!$AB$94</definedName>
    <definedName name="육2">'[52]257A1'!$H$91</definedName>
    <definedName name="육3">'[52]257A1'!$K$91</definedName>
    <definedName name="육4">'[52]257A1'!$N$91</definedName>
    <definedName name="육5">'[52]257A1'!$Q$91</definedName>
    <definedName name="육6">'[52]257A1'!$T$91</definedName>
    <definedName name="육7">'[52]257A1'!$W$91</definedName>
    <definedName name="육8">'[52]257A1'!$Z$91</definedName>
    <definedName name="육9">'[52]257A1'!$AC$91</definedName>
    <definedName name="이1">'[52]257A1'!$E$32</definedName>
    <definedName name="이10">'[52]257A1'!$AU$32</definedName>
    <definedName name="이11">'[52]257A1'!$AB$35</definedName>
    <definedName name="이12">'[52]257A1'!$AC$38</definedName>
    <definedName name="이13">'[52]257A1'!$AF$38</definedName>
    <definedName name="이14">'[52]257A1'!$AI$38</definedName>
    <definedName name="이15">'[52]257A1'!$AH$33</definedName>
    <definedName name="이2">'[52]257A1'!$H$32</definedName>
    <definedName name="이3">'[52]257A1'!$K$32</definedName>
    <definedName name="이4">'[52]257A1'!$N$32</definedName>
    <definedName name="이5">'[52]257A1'!$AF$32</definedName>
    <definedName name="이6">'[52]257A1'!$AI$32</definedName>
    <definedName name="이7">'[52]257A1'!$AL$32</definedName>
    <definedName name="이8">'[52]257A1'!$AO$32</definedName>
    <definedName name="이9">'[52]257A1'!$AR$32</definedName>
    <definedName name="이a">'[52]257A1'!$AK$29</definedName>
    <definedName name="이b">'[52]257A1'!$AN$34</definedName>
    <definedName name="이름1">'[56]설계명세서(선로)'!$B$4</definedName>
    <definedName name="이윤1">[3]설계명세서!#REF!</definedName>
    <definedName name="이윤2">'[38]설계명세(선로분)'!$H$134</definedName>
    <definedName name="인류클램프">[7]소요자재!$H$206</definedName>
    <definedName name="인부1">[39]심사물량!$C$9</definedName>
    <definedName name="일1">'[52]257A1'!$E$19</definedName>
    <definedName name="일11">'[52]257A1'!$H$14</definedName>
    <definedName name="일12">'[52]257A1'!$J$12</definedName>
    <definedName name="일13">'[52]257A1'!$K$14</definedName>
    <definedName name="일14">'[52]257A1'!$N$13</definedName>
    <definedName name="일15">'[52]257A1'!$N$15</definedName>
    <definedName name="일2">'[52]257A1'!$H$19</definedName>
    <definedName name="일3">'[52]257A1'!$K$19</definedName>
    <definedName name="일4">'[52]257A1'!$N$19</definedName>
    <definedName name="일5">'[52]257A1'!$Q$19</definedName>
    <definedName name="일6">'[52]257A1'!$T$19</definedName>
    <definedName name="일7">'[52]257A1'!$W$19</definedName>
    <definedName name="일8">'[52]257A1'!$Z$19</definedName>
    <definedName name="일9">'[52]257A1'!$AC$19</definedName>
    <definedName name="일a">'[52]257A1'!$M$21</definedName>
    <definedName name="일b">'[52]257A1'!$Q$22</definedName>
    <definedName name="일c">'[52]257A1'!$T$22</definedName>
    <definedName name="일d">'[52]257A1'!$W$22</definedName>
    <definedName name="일반1">'[35]설계명세서 (장비)'!#REF!</definedName>
    <definedName name="일반관리1">[3]설계명세서!#REF!</definedName>
    <definedName name="일반관리2">'[38]설계명세(선로분)'!$H$130</definedName>
    <definedName name="일반관리비_공종2">#REF!,#REF!</definedName>
    <definedName name="일위">{#N/A,#N/A,FALSE,"3가";#N/A,#N/A,FALSE,"3나";#N/A,#N/A,FALSE,"3다"}</definedName>
    <definedName name="일정">BLCH</definedName>
    <definedName name="자">{#N/A,#N/A,FALSE,"3가";#N/A,#N/A,FALSE,"3나";#N/A,#N/A,FALSE,"3다"}</definedName>
    <definedName name="전선관PE">[7]소요자재!$H$230</definedName>
    <definedName name="전원선">[7]소요자재!$H$180</definedName>
    <definedName name="전원선1">[7]소요자재!$H$181</definedName>
    <definedName name="전원케이블">[7]노무산출서!$H$31</definedName>
    <definedName name="전원케이블1">[7]노무산출서!$H$32</definedName>
    <definedName name="전철">0</definedName>
    <definedName name="점퍼카드2">[19]소요자재!#REF!</definedName>
    <definedName name="점퍼카드3">[19]소요자재!#REF!</definedName>
    <definedName name="점퍼카드4">[19]소요자재!#REF!</definedName>
    <definedName name="점퍼코드1">[7]소요자재!$H$11</definedName>
    <definedName name="점퍼코드10">[7]소요자재!$H$61</definedName>
    <definedName name="점퍼코드11">[7]소요자재!$H$63</definedName>
    <definedName name="점퍼코드12">[7]소요자재!$H$62</definedName>
    <definedName name="점퍼코드2">[7]소요자재!$H$12</definedName>
    <definedName name="점퍼코드3">[7]소요자재!$H$13</definedName>
    <definedName name="점퍼코드4">[7]소요자재!$H$14</definedName>
    <definedName name="점퍼코드5">[7]소요자재!$H$33</definedName>
    <definedName name="점퍼코드6">[7]소요자재!$H$34</definedName>
    <definedName name="점퍼코드7">[7]소요자재!$H$35</definedName>
    <definedName name="점퍼코드8">[7]소요자재!$H$36</definedName>
    <definedName name="점퍼코드9">[7]소요자재!$H$60</definedName>
    <definedName name="접속4">[35]노무비명세서2!#REF!</definedName>
    <definedName name="접속및단자설치">[7]노무산출서!$H$36</definedName>
    <definedName name="접속클램프">[7]소요자재!$H$207</definedName>
    <definedName name="접속함체1">[19]소요자재!#REF!</definedName>
    <definedName name="접속함체2">[19]소요자재!#REF!</definedName>
    <definedName name="접속함체3">[7]소요자재!$H$194</definedName>
    <definedName name="접속함체4">[19]소요자재!#REF!</definedName>
    <definedName name="접속함체5">[19]소요자재!#REF!</definedName>
    <definedName name="접속함체6">[7]소요자재!$H$195</definedName>
    <definedName name="접지봉시설1">[7]노무산출서!$H$81</definedName>
    <definedName name="접지봉콘넥타">[7]소요자재!$H$218</definedName>
    <definedName name="접지선50MM">[7]소요자재!$H$217</definedName>
    <definedName name="접지선시설">[7]노무산출서!$H$78</definedName>
    <definedName name="접지써콘시설">[7]노무산출서!$H$77</definedName>
    <definedName name="정류기">[48]정류기!$B$2:$C$32</definedName>
    <definedName name="제경비율">[41]입력변수!$D$36</definedName>
    <definedName name="제주추가종합수정안">{#N/A,#N/A,FALSE,"3가";#N/A,#N/A,FALSE,"3나";#N/A,#N/A,FALSE,"3다"}</definedName>
    <definedName name="조정1">[3]설계명세서!#REF!</definedName>
    <definedName name="조정이윤1">[3]설계명세서!#REF!</definedName>
    <definedName name="조직현황1">BLCH</definedName>
    <definedName name="주변">[54]PLT8500!$A$31:$W$249</definedName>
    <definedName name="주변PL">[54]PLT8500!$A$31:$A$249</definedName>
    <definedName name="중급기술">[39]심사물량!$C$6</definedName>
    <definedName name="지선근가">[7]소요자재!$H$226</definedName>
    <definedName name="지선롯드">[7]소요자재!$H$227</definedName>
    <definedName name="지선밴드">[7]소요자재!$H$205</definedName>
    <definedName name="지선애자">[7]소요자재!$H$228</definedName>
    <definedName name="지재1">'[46]설계명세서 (장비)'!#REF!</definedName>
    <definedName name="지중12C">[7]소요자재!$H$162</definedName>
    <definedName name="지중24C">[7]소요자재!$H$163</definedName>
    <definedName name="지중36C">[7]소요자재!$H$164</definedName>
    <definedName name="지중48C">[7]소요자재!$H$165</definedName>
    <definedName name="지중6C">[7]소요자재!$H$161</definedName>
    <definedName name="지중명찰취부">[7]노무산출서!$H$59</definedName>
    <definedName name="직노1">'[35]설계명세서 (장비)'!#REF!</definedName>
    <definedName name="참고">[11]참고!$A$1:$IV$49</definedName>
    <definedName name="초급기술">[39]심사물량!$C$7</definedName>
    <definedName name="축전지">[19]노무산출서!#REF!</definedName>
    <definedName name="충전기">[19]노무산출서!#REF!</definedName>
    <definedName name="케이블명찰">[7]소요자재!$H$196</definedName>
    <definedName name="케이블명찰1">[7]소요자재!$H$197</definedName>
    <definedName name="케이블바인드신설1">[7]노무산출서!$H$72</definedName>
    <definedName name="케이블바인드신설2">[7]노무산출서!$H$73</definedName>
    <definedName name="케이블바인드신설3">[7]노무산출서!$H$74</definedName>
    <definedName name="케이블바인드해체">[7]노무산출서!$H$75</definedName>
    <definedName name="케이블크리트">[7]소요자재!$H$231</definedName>
    <definedName name="케이블크리트설치">[7]노무산출서!$H$92</definedName>
    <definedName name="케이블타이">[7]소요자재!$H$202</definedName>
    <definedName name="콘크리이트전주">[7]소요자재!$H$225</definedName>
    <definedName name="클램프취부">[7]노무산출서!$H$66</definedName>
    <definedName name="템플리트모듈1">BLCH</definedName>
    <definedName name="템플리트모듈120">BlankMacro1</definedName>
    <definedName name="템플리트모듈2">BLCH</definedName>
    <definedName name="템플리트모듈220">BlankMacro1</definedName>
    <definedName name="템플리트모듈3">BLCH</definedName>
    <definedName name="템플리트모듈4">BLCH</definedName>
    <definedName name="템플리트모듈5">BLCH</definedName>
    <definedName name="템플리트모듈6">BLCH</definedName>
    <definedName name="통신용벽철">[7]노무산출서!$H$40</definedName>
    <definedName name="통신용완철">[7]노무산출서!$H$68</definedName>
    <definedName name="통신용인입벽철">[7]소요자재!$H$187</definedName>
    <definedName name="통신용인입벽청">[19]소요자재!#REF!</definedName>
    <definedName name="통합">[7]소요자재!$H$138</definedName>
    <definedName name="ㅍ">{#N/A,#N/A,FALSE,"3가";#N/A,#N/A,FALSE,"3나";#N/A,#N/A,FALSE,"3다"}</definedName>
    <definedName name="판매">'[15]LH3 동양시스템'!$J$34</definedName>
    <definedName name="플렉시블전선관">[7]소요자재!$H$189</definedName>
    <definedName name="하수">BlankMacro1</definedName>
    <definedName name="해석">BlankMacro1</definedName>
    <definedName name="현장실사">'[19]설계명세서(종합)'!#REF!</definedName>
    <definedName name="호표">[57]일위산출!#REF!</definedName>
    <definedName name="회사1">'[46]설계명세서 (장비)'!#REF!</definedName>
    <definedName name="회사계1">[3]설계명세서!#REF!</definedName>
    <definedName name="회사분경비">[58]전체!$G$135</definedName>
    <definedName name="ㅓ">[59]내역서!#REF!</definedName>
    <definedName name="ㅓㅏㅏㅣ">BLCH</definedName>
    <definedName name="ㅜㅜㅜㅜㅜ">BLCH</definedName>
    <definedName name="_MX10">#REF!</definedName>
    <definedName name="도서2">#REF!</definedName>
    <definedName name="전문전기정보통신소방공사기타공사">#REF!</definedName>
    <definedName name="PE포설1">#REF!</definedName>
    <definedName name="_OFD48">#REF!</definedName>
    <definedName name="TV신설">#REF!</definedName>
    <definedName name="EIF">#REF!</definedName>
    <definedName name="광코드43">#REF!</definedName>
    <definedName name="고능">#REF!</definedName>
    <definedName name="PCM포설">#REF!</definedName>
    <definedName name="성과심사비">#REF!</definedName>
    <definedName name="공사명">#REF!</definedName>
    <definedName name="인류">#REF!</definedName>
    <definedName name="플랜">#REF!</definedName>
    <definedName name="UNI_RS232">#REF!</definedName>
    <definedName name="처음">#REF!</definedName>
    <definedName name="직접인건비">#REF!</definedName>
    <definedName name="Entity_List">#REF!</definedName>
    <definedName name="평당단가">#REF!</definedName>
    <definedName name="다3">#REF!</definedName>
    <definedName name="중급기술자">#REF!</definedName>
    <definedName name="철거기별2">#REF!</definedName>
    <definedName name="간접노무비계">#REF!</definedName>
    <definedName name="관로1">#REF!</definedName>
    <definedName name="광12">#REF!</definedName>
    <definedName name="규모보정계수">#REF!</definedName>
    <definedName name="초급기능">#REF!</definedName>
    <definedName name="일출력">#REF!</definedName>
    <definedName name="MDF">#REF!</definedName>
    <definedName name="굴착1">#REF!</definedName>
    <definedName name="TV철거">#REF!</definedName>
    <definedName name="_OPM3">#REF!</definedName>
    <definedName name="초능">#REF!</definedName>
    <definedName name="UNIAC">#REF!</definedName>
    <definedName name="광코드61">#REF!</definedName>
    <definedName name="_PP4">#REF!</definedName>
    <definedName name="백사십일">#REF!</definedName>
    <definedName name="MODELING">#REF!</definedName>
    <definedName name="_MX1">#REF!</definedName>
    <definedName name="광코드74">#REF!</definedName>
    <definedName name="초급1">#REF!</definedName>
    <definedName name="_ind21">#REF!</definedName>
    <definedName name="quad_t">#REF!</definedName>
    <definedName name="OCBY">#REF!</definedName>
    <definedName name="지재">#REF!</definedName>
    <definedName name="_US1">#REF!</definedName>
    <definedName name="관로3">#REF!</definedName>
    <definedName name="수정24">#REF!</definedName>
    <definedName name="선택셀">#REF!</definedName>
    <definedName name="전주">#REF!</definedName>
    <definedName name="임대면적">#REF!</definedName>
    <definedName name="_ind32">#REF!</definedName>
    <definedName name="광코드52">#REF!</definedName>
    <definedName name="표시찰">#REF!</definedName>
    <definedName name="수정13">#REF!</definedName>
    <definedName name="SRP">#REF!</definedName>
    <definedName name="접속1">#REF!</definedName>
    <definedName name="항공사진초급">#REF!</definedName>
    <definedName name="서버가격">#REF!</definedName>
    <definedName name="접지콘">#REF!</definedName>
    <definedName name="_CSP1">#REF!</definedName>
    <definedName name="라4">#REF!</definedName>
    <definedName name="Data_Func">#REF!</definedName>
    <definedName name="고급엔지니어링">#REF!</definedName>
    <definedName name="이설2">#REF!</definedName>
    <definedName name="표시찰취부">#REF!</definedName>
    <definedName name="ASTE_4WEM">#REF!</definedName>
    <definedName name="소용매수">#REF!</definedName>
    <definedName name="지적기사2">#REF!</definedName>
    <definedName name="sd">#REF!</definedName>
    <definedName name="개통시험1">#REF!</definedName>
    <definedName name="수정15">#REF!</definedName>
    <definedName name="MUXNMS">#REF!</definedName>
    <definedName name="인쇄수량">#REF!</definedName>
    <definedName name="sw비용">#REF!</definedName>
    <definedName name="수정28">#REF!</definedName>
    <definedName name="RCU">#REF!</definedName>
    <definedName name="blp">#REF!</definedName>
    <definedName name="광케">#REF!</definedName>
    <definedName name="접속3">#REF!</definedName>
    <definedName name="KYNGSAYL">#REF!</definedName>
    <definedName name="맷수">#REF!</definedName>
    <definedName name="프로젝트명">#REF!</definedName>
    <definedName name="_ind36">#REF!</definedName>
    <definedName name="가공철거">#REF!</definedName>
    <definedName name="수정25">#REF!</definedName>
    <definedName name="_ind10">#REF!</definedName>
    <definedName name="AA">#REF!</definedName>
    <definedName name="측특기">#REF!</definedName>
    <definedName name="문서명">#REF!</definedName>
    <definedName name="_OIU2">#REF!</definedName>
    <definedName name="끝머리">#REF!</definedName>
    <definedName name="업체SW개발비">#REF!</definedName>
    <definedName name="스파이랄2">#REF!</definedName>
    <definedName name="광4">#REF!</definedName>
    <definedName name="광코드53">#REF!</definedName>
    <definedName name="UNIV">#REF!</definedName>
    <definedName name="flc_rack1">#REF!</definedName>
    <definedName name="중급지도제작">#REF!</definedName>
    <definedName name="바인드3">#REF!</definedName>
    <definedName name="_FDM8">#REF!</definedName>
    <definedName name="_PB1">#REF!</definedName>
    <definedName name="PPLINK2">#REF!</definedName>
    <definedName name="select_gj">#REF!</definedName>
    <definedName name="초급도화">#REF!</definedName>
    <definedName name="_ind11">#REF!</definedName>
    <definedName name="EQ">#REF!</definedName>
    <definedName name="광코드42">#REF!</definedName>
    <definedName name="잉크가격">#REF!</definedName>
    <definedName name="Departmental">#REF!</definedName>
    <definedName name="설치2">#REF!</definedName>
    <definedName name="소모품2">#REF!</definedName>
    <definedName name="항법사">#REF!</definedName>
    <definedName name="라2">#REF!</definedName>
    <definedName name="통신외">#REF!</definedName>
    <definedName name="성단">#REF!</definedName>
    <definedName name="_ind37">#REF!</definedName>
    <definedName name="지중포설">#REF!</definedName>
    <definedName name="PVC">#REF!</definedName>
    <definedName name="FLCOJC1">#REF!</definedName>
    <definedName name="보도">#REF!</definedName>
    <definedName name="RACK18">#REF!</definedName>
    <definedName name="도화기정비">#REF!</definedName>
    <definedName name="M13직노">#REF!</definedName>
    <definedName name="써콘시설">#REF!</definedName>
    <definedName name="광코드11">#REF!</definedName>
    <definedName name="상수도인일">#REF!</definedName>
    <definedName name="FME_T1">#REF!</definedName>
    <definedName name="경비">#REF!</definedName>
    <definedName name="인터폰철거">#REF!</definedName>
    <definedName name="무선전화기">#REF!</definedName>
    <definedName name="바인드1">#REF!</definedName>
    <definedName name="d">#REF!</definedName>
    <definedName name="flc_dcu">#REF!</definedName>
    <definedName name="_ind39">#REF!</definedName>
    <definedName name="BATCH">#REF!</definedName>
    <definedName name="실업자하수도인건비">#REF!</definedName>
    <definedName name="RACK10">#REF!</definedName>
    <definedName name="개요부분">#REF!</definedName>
    <definedName name="_ind42">#REF!</definedName>
    <definedName name="SSS">#REF!</definedName>
    <definedName name="수정1">#REF!</definedName>
    <definedName name="가격표">#REF!</definedName>
    <definedName name="벽철">#REF!</definedName>
    <definedName name="기능수">#REF!</definedName>
    <definedName name="간접노무2">#REF!</definedName>
    <definedName name="수량집계양">#REF!</definedName>
    <definedName name="oc1_v35">#REF!</definedName>
    <definedName name="FMEOJC2">#REF!</definedName>
    <definedName name="스피터철거">#REF!</definedName>
    <definedName name="중급도화">#REF!</definedName>
    <definedName name="봉시설3">#REF!</definedName>
    <definedName name="세금2">#REF!</definedName>
    <definedName name="OTRC">#REF!</definedName>
    <definedName name="수정17">#REF!</definedName>
    <definedName name="도면수">#REF!</definedName>
    <definedName name="구릉지비율">#REF!</definedName>
    <definedName name="OTRB">#REF!</definedName>
    <definedName name="seawolf_TRadder">#REF!</definedName>
    <definedName name="note">#REF!</definedName>
    <definedName name="고급임금">#REF!</definedName>
    <definedName name="_NIU2">#REF!</definedName>
    <definedName name="광코드51">#REF!</definedName>
    <definedName name="함체100">#REF!</definedName>
    <definedName name="가6">#REF!</definedName>
    <definedName name="다기능전화기신설">#REF!</definedName>
    <definedName name="광코드73">#REF!</definedName>
    <definedName name="단순인력">#REF!</definedName>
    <definedName name="_ind26">#REF!</definedName>
    <definedName name="슬리브1">#REF!</definedName>
    <definedName name="라">#REF!</definedName>
    <definedName name="탐지기댓수">#REF!</definedName>
    <definedName name="_CSU2">#REF!</definedName>
    <definedName name="BLS">#REF!</definedName>
    <definedName name="_MX2">#REF!</definedName>
    <definedName name="측량고급">#REF!</definedName>
    <definedName name="PPOJC1">#REF!</definedName>
    <definedName name="hw비용">#REF!</definedName>
    <definedName name="_MUX2">#REF!</definedName>
    <definedName name="차량무전기철거">#REF!</definedName>
    <definedName name="수정22">#REF!</definedName>
    <definedName name="KYNGSADO">#REF!</definedName>
    <definedName name="분사처리">#REF!</definedName>
    <definedName name="바인드해체1">#REF!</definedName>
    <definedName name="ㄹㅇ">#REF!</definedName>
    <definedName name="_FDM4">#REF!</definedName>
    <definedName name="ㅇㅇㅇ">#REF!</definedName>
    <definedName name="수정27">#REF!</definedName>
    <definedName name="접속2">#REF!</definedName>
    <definedName name="TV이설">#REF!</definedName>
    <definedName name="수정3">#REF!</definedName>
    <definedName name="지도제작중급">#REF!</definedName>
    <definedName name="강관1">#REF!</definedName>
    <definedName name="도급계">#REF!</definedName>
    <definedName name="변동사항">#REF!</definedName>
    <definedName name="UNIDC">#REF!</definedName>
    <definedName name="구멍">#REF!</definedName>
    <definedName name="중급임금">#REF!</definedName>
    <definedName name="AAA">#REF!</definedName>
    <definedName name="자석전화기">#REF!</definedName>
    <definedName name="사급경비계">#REF!</definedName>
    <definedName name="DB단순">#REF!</definedName>
    <definedName name="CQ_MUX">#REF!</definedName>
    <definedName name="도급경비">#REF!</definedName>
    <definedName name="PPOJC3">#REF!</definedName>
    <definedName name="조사탐사기간">#REF!</definedName>
    <definedName name="광2">#REF!</definedName>
    <definedName name="FMET">#REF!</definedName>
    <definedName name="MUX7104_2">#REF!</definedName>
    <definedName name="콘굴착">#REF!</definedName>
    <definedName name="ROUTER">#REF!</definedName>
    <definedName name="도로연장">#REF!</definedName>
    <definedName name="CQOJC3">#REF!</definedName>
    <definedName name="SSSS">#REF!</definedName>
    <definedName name="운반">#REF!</definedName>
    <definedName name="단자블럭취부">#REF!</definedName>
    <definedName name="CLK">#REF!</definedName>
    <definedName name="사급경비">#REF!</definedName>
    <definedName name="MDF_B01">#REF!</definedName>
    <definedName name="NMS_3240">#REF!</definedName>
    <definedName name="관리인원비율">#REF!</definedName>
    <definedName name="실업인건계수">#REF!</definedName>
    <definedName name="인건비">#REF!</definedName>
    <definedName name="보굴착">#REF!</definedName>
    <definedName name="항공사진중급">#REF!</definedName>
    <definedName name="인부">#REF!</definedName>
    <definedName name="입상관">#REF!</definedName>
    <definedName name="인상PVC">#REF!</definedName>
    <definedName name="직접노무비계">#REF!</definedName>
    <definedName name="전원">#REF!</definedName>
    <definedName name="라3">#REF!</definedName>
    <definedName name="정보1급">#REF!</definedName>
    <definedName name="part">#REF!</definedName>
    <definedName name="일위호표">#REF!</definedName>
    <definedName name="_OP5">#REF!</definedName>
    <definedName name="CiscoSP1">#REF!</definedName>
    <definedName name="ㅁ1">#REF!</definedName>
    <definedName name="PE포설3">#REF!</definedName>
    <definedName name="다2">#REF!</definedName>
    <definedName name="단순단가">#REF!</definedName>
    <definedName name="flc_blank1">#REF!</definedName>
    <definedName name="BACK_HOME">#REF!</definedName>
    <definedName name="_Table1_In1">#REF!</definedName>
    <definedName name="크램프철거">#REF!</definedName>
    <definedName name="측량초급">#REF!</definedName>
    <definedName name="영업이익표">#REF!</definedName>
    <definedName name="RACK12">#REF!</definedName>
    <definedName name="크리트1">#REF!</definedName>
    <definedName name="WEB">#REF!</definedName>
    <definedName name="_MX13">#REF!</definedName>
    <definedName name="공구">#REF!</definedName>
    <definedName name="_MX4">#REF!</definedName>
    <definedName name="일반관리비계">#REF!</definedName>
    <definedName name="DCU">#REF!</definedName>
    <definedName name="보통인력">#REF!</definedName>
    <definedName name="바인드신설4">#REF!</definedName>
    <definedName name="HUB철거">#REF!</definedName>
    <definedName name="수정23">#REF!</definedName>
    <definedName name="HBA">#REF!</definedName>
    <definedName name="공전">#REF!</definedName>
    <definedName name="SFR">#REF!</definedName>
    <definedName name="납땜">#REF!</definedName>
    <definedName name="변PN">#REF!</definedName>
    <definedName name="세금">#REF!</definedName>
    <definedName name="도급경비계">#REF!</definedName>
    <definedName name="통신설">#REF!</definedName>
    <definedName name="_IDF3">#REF!</definedName>
    <definedName name="도급경비2">#REF!</definedName>
    <definedName name="NMU">#REF!</definedName>
    <definedName name="NDU">#REF!</definedName>
    <definedName name="업체인력비율">#REF!</definedName>
    <definedName name="굴착2">#REF!</definedName>
    <definedName name="h_w설치">#REF!</definedName>
    <definedName name="규모별보정계수">#REF!</definedName>
    <definedName name="행가">#REF!</definedName>
    <definedName name="바인드신설3">#REF!</definedName>
    <definedName name="설치12ㅊ">#REF!</definedName>
    <definedName name="옥외접지">#REF!</definedName>
    <definedName name="T1_3240">#REF!</definedName>
    <definedName name="도면출력비용">#REF!</definedName>
    <definedName name="도급분">#REF!</definedName>
    <definedName name="정보처리1급">#REF!</definedName>
    <definedName name="_ind17">#REF!</definedName>
    <definedName name="특급엔지니어링">#REF!</definedName>
    <definedName name="UNIOJC2">#REF!</definedName>
    <definedName name="oc_1">#REF!</definedName>
    <definedName name="탐사고급">#REF!</definedName>
    <definedName name="품셈">#REF!</definedName>
    <definedName name="실적98">#REF!</definedName>
    <definedName name="접지선">#REF!</definedName>
    <definedName name="여비2">#REF!</definedName>
    <definedName name="접지봉시설3">#REF!</definedName>
    <definedName name="크램프취부">#REF!</definedName>
    <definedName name="후포설">#REF!</definedName>
    <definedName name="GM">#REF!</definedName>
    <definedName name="인쇄비">#REF!</definedName>
    <definedName name="ndFile1Inst">#REF!</definedName>
    <definedName name="수정8">#REF!</definedName>
    <definedName name="전선관">#REF!</definedName>
    <definedName name="MUXV">#REF!</definedName>
    <definedName name="도급재료">#REF!</definedName>
    <definedName name="일위대가">#REF!</definedName>
    <definedName name="초급지도제작">#REF!</definedName>
    <definedName name="ASP중층">#REF!</definedName>
    <definedName name="인력관리비">#REF!</definedName>
    <definedName name="월당일수">#REF!</definedName>
    <definedName name="광9">#REF!</definedName>
    <definedName name="flc_ds1">#REF!</definedName>
    <definedName name="SW">#REF!</definedName>
    <definedName name="촬영기계경비">#REF!</definedName>
    <definedName name="속초기">#REF!</definedName>
    <definedName name="기술등급">#REF!</definedName>
    <definedName name="지초능">#REF!</definedName>
    <definedName name="일위집계표">#REF!</definedName>
    <definedName name="수정7">#REF!</definedName>
    <definedName name="__123Graph_A그래프2">#REF!</definedName>
    <definedName name="UPG_PN">#REF!</definedName>
    <definedName name="지중철거">#REF!</definedName>
    <definedName name="광7">#REF!</definedName>
    <definedName name="써콘2">#REF!</definedName>
    <definedName name="접지선시설2">#REF!</definedName>
    <definedName name="_OPM2">#REF!</definedName>
    <definedName name="광코드34">#REF!</definedName>
    <definedName name="이설3">#REF!</definedName>
    <definedName name="각암타이">#REF!</definedName>
    <definedName name="UNI_ACCESSORY">#REF!</definedName>
    <definedName name="명취부2">#REF!</definedName>
    <definedName name="제안가DC">#REF!</definedName>
    <definedName name="경완금1">#REF!</definedName>
    <definedName name="사급자재">#REF!</definedName>
    <definedName name="측고기">#REF!</definedName>
    <definedName name="_MUX3240">#REF!</definedName>
    <definedName name="전주건주">#REF!</definedName>
    <definedName name="고급기술자">#REF!</definedName>
    <definedName name="PPOJC2">#REF!</definedName>
    <definedName name="관로2">#REF!</definedName>
    <definedName name="난이도">#REF!</definedName>
    <definedName name="실업자상수도인건비">#REF!</definedName>
    <definedName name="압축단자">#REF!</definedName>
    <definedName name="_ind34">#REF!</definedName>
    <definedName name="용지수량">#REF!</definedName>
    <definedName name="제품">#REF!</definedName>
    <definedName name="CSSP">#REF!</definedName>
    <definedName name="벽관통">#REF!</definedName>
    <definedName name="PRT신설">#REF!</definedName>
    <definedName name="농경지비율">#REF!</definedName>
    <definedName name="수도">#REF!</definedName>
    <definedName name="광코드10">#REF!</definedName>
    <definedName name="광코드22">#REF!</definedName>
    <definedName name="난연">#REF!</definedName>
    <definedName name="_2">#REF!</definedName>
    <definedName name="중급기능">#REF!</definedName>
    <definedName name="수정26">#REF!</definedName>
    <definedName name="국내여비일당">#REF!</definedName>
    <definedName name="총계2">#REF!</definedName>
    <definedName name="조종사">#REF!</definedName>
    <definedName name="정비비">#REF!</definedName>
    <definedName name="지선">#REF!</definedName>
    <definedName name="사업자하수도인건비">#REF!</definedName>
    <definedName name="속고기">#REF!</definedName>
    <definedName name="굴착4">#REF!</definedName>
    <definedName name="노무비2">#REF!</definedName>
    <definedName name="명당평수">#REF!</definedName>
    <definedName name="설치5">#REF!</definedName>
    <definedName name="UNI_CPU">#REF!</definedName>
    <definedName name="명취부3">#REF!</definedName>
    <definedName name="스파이랄취부2">#REF!</definedName>
    <definedName name="시험성적서">#REF!</definedName>
    <definedName name="사업자관리비">#REF!</definedName>
    <definedName name="_OP6">#REF!</definedName>
    <definedName name="ad_conv">#REF!</definedName>
    <definedName name="속성파일작성비용">#REF!</definedName>
    <definedName name="고급기능">#REF!</definedName>
    <definedName name="CQT">#REF!</definedName>
    <definedName name="고용기준일">#REF!</definedName>
    <definedName name="행가설치">#REF!</definedName>
    <definedName name="옥내접지1">#REF!</definedName>
    <definedName name="모뎀신설">#REF!</definedName>
    <definedName name="_ind5">#REF!</definedName>
    <definedName name="FLC충전기">#REF!</definedName>
    <definedName name="콘크리트공">#REF!</definedName>
    <definedName name="UNI_V35">#REF!</definedName>
    <definedName name="행가2">#REF!</definedName>
    <definedName name="_OFD1">#REF!</definedName>
    <definedName name="전원포설">#REF!</definedName>
    <definedName name="PE3열">#REF!</definedName>
    <definedName name="국내여비숙박비">#REF!</definedName>
    <definedName name="cost">#REF!</definedName>
    <definedName name="통IDF16T">#REF!</definedName>
    <definedName name="암타이">#REF!</definedName>
    <definedName name="A">#REF!</definedName>
    <definedName name="접지2">#REF!</definedName>
    <definedName name="콘크리트">#REF!</definedName>
    <definedName name="쉴드">#REF!</definedName>
    <definedName name="지고능">#REF!</definedName>
    <definedName name="기능점수방법선택">#REF!</definedName>
    <definedName name="항공정비사">#REF!</definedName>
    <definedName name="일반관리비">#REF!</definedName>
    <definedName name="UNI">#REF!</definedName>
    <definedName name="_ind1">#REF!</definedName>
    <definedName name="초급엔지니어링">#REF!</definedName>
    <definedName name="노임단가_년도별">#REF!</definedName>
    <definedName name="외피접속">#REF!</definedName>
    <definedName name="집계2">#REF!</definedName>
    <definedName name="광코드24">#REF!</definedName>
    <definedName name="도급분계">#REF!</definedName>
    <definedName name="설치3">#REF!</definedName>
    <definedName name="광코드32">#REF!</definedName>
    <definedName name="토탈">#REF!</definedName>
    <definedName name="_ind2">#REF!</definedName>
    <definedName name="BLB">#REF!</definedName>
    <definedName name="_OP12">#REF!</definedName>
    <definedName name="중급측량">#REF!</definedName>
    <definedName name="ndFile2Inst">#REF!</definedName>
    <definedName name="지도제작고급">#REF!</definedName>
    <definedName name="가5">#REF!</definedName>
    <definedName name="수정요망">#REF!</definedName>
    <definedName name="광코드03">#REF!</definedName>
    <definedName name="유볼트">#REF!</definedName>
    <definedName name="함체2">#REF!</definedName>
    <definedName name="광통">#REF!</definedName>
    <definedName name="_MX12">#REF!</definedName>
    <definedName name="고급기능사노임">#REF!</definedName>
    <definedName name="환율1250">#REF!</definedName>
    <definedName name="공구2">#REF!</definedName>
    <definedName name="교외지비율">#REF!</definedName>
    <definedName name="다">#REF!</definedName>
    <definedName name="Discount">#REF!</definedName>
    <definedName name="fadp">#REF!</definedName>
    <definedName name="cq_508">#REF!</definedName>
    <definedName name="RACK4">#REF!</definedName>
    <definedName name="_OP11">#REF!</definedName>
    <definedName name="탐사보통">#REF!</definedName>
    <definedName name="공공근로사업비">#REF!</definedName>
    <definedName name="s_w시험">#REF!</definedName>
    <definedName name="ASTEOCU">#REF!</definedName>
    <definedName name="ASP밑면">#REF!</definedName>
    <definedName name="명찰취부1">#REF!</definedName>
    <definedName name="PPT">#REF!</definedName>
    <definedName name="Digitizer비용">#REF!</definedName>
    <definedName name="강연선">#REF!</definedName>
    <definedName name="실업인력인일">#REF!</definedName>
    <definedName name="하수도연장">#REF!</definedName>
    <definedName name="L서버번호">#REF!</definedName>
    <definedName name="_ind18">#REF!</definedName>
    <definedName name="이설1">#REF!</definedName>
    <definedName name="인력관리">#REF!</definedName>
    <definedName name="FDMOJC2">#REF!</definedName>
    <definedName name="총계">#REF!</definedName>
    <definedName name="송신광출력">#REF!</definedName>
    <definedName name="Modifier">#REF!</definedName>
    <definedName name="일반전화기">#REF!</definedName>
    <definedName name="광8">#REF!</definedName>
    <definedName name="스피커이설">#REF!</definedName>
    <definedName name="FDMOJC1">#REF!</definedName>
    <definedName name="광단국3">#REF!</definedName>
    <definedName name="가4">#REF!</definedName>
    <definedName name="강재시설">#REF!</definedName>
    <definedName name="견인선">#REF!</definedName>
    <definedName name="특별인부">#REF!</definedName>
    <definedName name="Plotter댓수">#REF!</definedName>
    <definedName name="금액">#REF!</definedName>
    <definedName name="연선">#REF!</definedName>
    <definedName name="flc_sw">#REF!</definedName>
    <definedName name="하수도시설계수">#REF!</definedName>
    <definedName name="수정6">#REF!</definedName>
    <definedName name="f">#REF!</definedName>
    <definedName name="bytesync">#REF!</definedName>
    <definedName name="whan">#REF!</definedName>
    <definedName name="프랜트전공">#REF!</definedName>
    <definedName name="공정">#REF!</definedName>
    <definedName name="개발실시간1">#REF!</definedName>
    <definedName name="PCM성단">#REF!</definedName>
    <definedName name="파트넘버">#REF!</definedName>
    <definedName name="_OPM1">#REF!</definedName>
    <definedName name="단가합">#REF!</definedName>
    <definedName name="IDF단">#REF!</definedName>
    <definedName name="광10">#REF!</definedName>
    <definedName name="노무비">#REF!</definedName>
    <definedName name="HUB이설">#REF!</definedName>
    <definedName name="_IDF1">#REF!</definedName>
    <definedName name="상수도시설계수">#REF!</definedName>
    <definedName name="초기">#REF!</definedName>
    <definedName name="인터폰신설">#REF!</definedName>
    <definedName name="L서버">#REF!</definedName>
    <definedName name="도급계2">#REF!</definedName>
    <definedName name="_ind38">#REF!</definedName>
    <definedName name="공단">#REF!</definedName>
    <definedName name="조가선2">#REF!</definedName>
    <definedName name="GV_38">#REF!</definedName>
    <definedName name="_CSU1">#REF!</definedName>
    <definedName name="PJT개요">#REF!</definedName>
    <definedName name="V">#REF!</definedName>
    <definedName name="TYPE">#REF!</definedName>
    <definedName name="msgbox_1">#REF!</definedName>
    <definedName name="스파이랄1">#REF!</definedName>
    <definedName name="LANCARD신설">#REF!</definedName>
    <definedName name="광코드44">#REF!</definedName>
    <definedName name="실적99">#REF!</definedName>
    <definedName name="써콘1">#REF!</definedName>
    <definedName name="controller">#REF!</definedName>
    <definedName name="광케이블철거1">#REF!</definedName>
    <definedName name="수정21">#REF!</definedName>
    <definedName name="정비사">#REF!</definedName>
    <definedName name="RACK41">#REF!</definedName>
    <definedName name="고급측량">#REF!</definedName>
    <definedName name="명철거3">#REF!</definedName>
    <definedName name="PC이설">#REF!</definedName>
    <definedName name="ndFile2Net">#REF!</definedName>
    <definedName name="THRU">#REF!</definedName>
    <definedName name="수정9">#REF!</definedName>
    <definedName name="나5">#REF!</definedName>
    <definedName name="GV_22">#REF!</definedName>
    <definedName name="RACK22">#REF!</definedName>
    <definedName name="직접경비">#REF!</definedName>
    <definedName name="OTRU_C">#REF!</definedName>
    <definedName name="EO">#REF!</definedName>
    <definedName name="광코드33">#REF!</definedName>
    <definedName name="여비">#REF!</definedName>
    <definedName name="이설6">#REF!</definedName>
    <definedName name="IJP">#REF!</definedName>
    <definedName name="도면가격">#REF!</definedName>
    <definedName name="PCSW댓수">#REF!</definedName>
    <definedName name="광코드13">#REF!</definedName>
    <definedName name="스파이랄취부1">#REF!</definedName>
    <definedName name="광단국4">#REF!</definedName>
    <definedName name="광케이블포설2">#REF!</definedName>
    <definedName name="사굴착">#REF!</definedName>
    <definedName name="FLCCOM">#REF!</definedName>
    <definedName name="소요매수">#REF!</definedName>
    <definedName name="포설공">#REF!</definedName>
    <definedName name="콘전주1">#REF!</definedName>
    <definedName name="전문인력">#REF!</definedName>
    <definedName name="명찰철거1">#REF!</definedName>
    <definedName name="조가선1">#REF!</definedName>
    <definedName name="RACK11">#REF!</definedName>
    <definedName name="함체3">#REF!</definedName>
    <definedName name="광케이블철거2">#REF!</definedName>
    <definedName name="전자시계이설">#REF!</definedName>
    <definedName name="명철거1">#REF!</definedName>
    <definedName name="총연장">#REF!</definedName>
    <definedName name="복리">#REF!</definedName>
    <definedName name="조가선신설">#REF!</definedName>
    <definedName name="면적">#REF!</definedName>
    <definedName name="_ind35">#REF!</definedName>
    <definedName name="다기능전화기철거">#REF!</definedName>
    <definedName name="광코드72">#REF!</definedName>
    <definedName name="재료비">#REF!</definedName>
    <definedName name="특급기술자">#REF!</definedName>
    <definedName name="CQDA">#REF!</definedName>
    <definedName name="랙설치">#REF!</definedName>
    <definedName name="일반관리">#REF!</definedName>
    <definedName name="PC철거">#REF!</definedName>
    <definedName name="CQOJC2">#REF!</definedName>
    <definedName name="끝">#REF!</definedName>
    <definedName name="광코드23">#REF!</definedName>
    <definedName name="완금">#REF!</definedName>
    <definedName name="플로터상각">#REF!</definedName>
    <definedName name="Digitizer댓수">#REF!</definedName>
    <definedName name="_FLC2">#REF!</definedName>
    <definedName name="ASTE_COM">#REF!</definedName>
    <definedName name="강재">#REF!</definedName>
    <definedName name="광단국1">#REF!</definedName>
    <definedName name="광코드31">#REF!</definedName>
    <definedName name="소모품">#REF!</definedName>
    <definedName name="연동연선">#REF!</definedName>
    <definedName name="UNI_NMU">#REF!</definedName>
    <definedName name="CQOJC1">#REF!</definedName>
    <definedName name="설치17c">#REF!</definedName>
    <definedName name="중급기술자노임">#REF!</definedName>
    <definedName name="입상관철거">#REF!</definedName>
    <definedName name="입상관1">#REF!</definedName>
    <definedName name="C_">#REF!</definedName>
    <definedName name="aumx">#REF!</definedName>
    <definedName name="앙카">#REF!</definedName>
    <definedName name="잉크단가">#REF!</definedName>
    <definedName name="FME">#REF!</definedName>
    <definedName name="보험료">#REF!</definedName>
    <definedName name="수정16">#REF!</definedName>
    <definedName name="조정">#REF!</definedName>
    <definedName name="바인드2">#REF!</definedName>
    <definedName name="_VLX6">#REF!</definedName>
    <definedName name="fmjg">#REF!</definedName>
    <definedName name="수정11">#REF!</definedName>
    <definedName name="RACK7">#REF!</definedName>
    <definedName name="이설7">#REF!</definedName>
    <definedName name="_CSU3">#REF!</definedName>
    <definedName name="상각비">#REF!</definedName>
    <definedName name="_ind8">#REF!</definedName>
    <definedName name="광단국6">#REF!</definedName>
    <definedName name="인터폰이설">#REF!</definedName>
    <definedName name="나">#REF!</definedName>
    <definedName name="_3">#REF!</definedName>
    <definedName name="완철설치">#REF!</definedName>
    <definedName name="ndFile3Inst">#REF!</definedName>
    <definedName name="ㅁ9">#REF!</definedName>
    <definedName name="UNI_PW_DC">#REF!</definedName>
    <definedName name="광코드63">#REF!</definedName>
    <definedName name="사급재료2">#REF!</definedName>
    <definedName name="HUB신설">#REF!</definedName>
    <definedName name="_OP2">#REF!</definedName>
    <definedName name="측량중급">#REF!</definedName>
    <definedName name="ㅣㅣㅣ">#REF!</definedName>
    <definedName name="PartNo">#REF!</definedName>
    <definedName name="DC컨버터">#REF!</definedName>
    <definedName name="입상관취부">#REF!</definedName>
    <definedName name="A_">#REF!</definedName>
    <definedName name="ㅂ">#REF!</definedName>
    <definedName name="융착접속">#REF!</definedName>
    <definedName name="문서번호">#REF!</definedName>
    <definedName name="_key6">#REF!</definedName>
    <definedName name="_VLX2">#REF!</definedName>
    <definedName name="_ind41">#REF!</definedName>
    <definedName name="_ind40">#REF!</definedName>
    <definedName name="총스텝수">#REF!</definedName>
    <definedName name="나3">#REF!</definedName>
    <definedName name="_MX11">#REF!</definedName>
    <definedName name="수정19">#REF!</definedName>
    <definedName name="직접노무">#REF!</definedName>
    <definedName name="년도별">#REF!</definedName>
    <definedName name="저압">#REF!</definedName>
    <definedName name="사업자인건비용">#REF!</definedName>
    <definedName name="print_sd">#REF!</definedName>
    <definedName name="ndFile3Maint">#REF!</definedName>
    <definedName name="_MX5">#REF!</definedName>
    <definedName name="기술사">#REF!</definedName>
    <definedName name="ㅊ5">#REF!</definedName>
    <definedName name="CQ">#REF!</definedName>
    <definedName name="이윤계">#REF!</definedName>
    <definedName name="방수시설">#REF!</definedName>
    <definedName name="일반건설공사">#REF!</definedName>
    <definedName name="설치12c">#REF!</definedName>
    <definedName name="애자">#REF!</definedName>
    <definedName name="T1_MOD">#REF!</definedName>
    <definedName name="OCCON">#REF!</definedName>
    <definedName name="도급">#REF!</definedName>
    <definedName name="명찰2">#REF!</definedName>
    <definedName name="전자시계신설">#REF!</definedName>
    <definedName name="a합">#REF!</definedName>
    <definedName name="_MSP1">#REF!</definedName>
    <definedName name="_OP7">#REF!</definedName>
    <definedName name="OCOJC1">#REF!</definedName>
    <definedName name="탐지기비용">#REF!</definedName>
    <definedName name="UNI_PW_AC">#REF!</definedName>
    <definedName name="보통">#REF!</definedName>
    <definedName name="_IDF2">#REF!</definedName>
    <definedName name="_ind16">#REF!</definedName>
    <definedName name="나6">#REF!</definedName>
    <definedName name="flc_rack2">#REF!</definedName>
    <definedName name="OCT">#REF!</definedName>
    <definedName name="IDF_S01">#REF!</definedName>
    <definedName name="설치7">#REF!</definedName>
    <definedName name="ndFile3Net">#REF!</definedName>
    <definedName name="사업자인건비할인율">#REF!</definedName>
    <definedName name="탐사전문">#REF!</definedName>
    <definedName name="범위1">#REF!</definedName>
    <definedName name="FMEOJC1">#REF!</definedName>
    <definedName name="분배함">#REF!</definedName>
    <definedName name="원가">#REF!</definedName>
    <definedName name="광코드21">#REF!</definedName>
    <definedName name="B_">#REF!</definedName>
    <definedName name="바인드10">#REF!</definedName>
    <definedName name="아스팔트">#REF!</definedName>
    <definedName name="산악지비율">#REF!</definedName>
    <definedName name="특별">#REF!</definedName>
    <definedName name="콘넥타">#REF!</definedName>
    <definedName name="바인드선">#REF!</definedName>
    <definedName name="ASP모래1">#REF!</definedName>
    <definedName name="수정14">#REF!</definedName>
    <definedName name="지중능">#REF!</definedName>
    <definedName name="_ind29">#REF!</definedName>
    <definedName name="바인드4">#REF!</definedName>
    <definedName name="플로터정비">#REF!</definedName>
    <definedName name="광3">#REF!</definedName>
    <definedName name="실업보통인력비율">#REF!</definedName>
    <definedName name="issd">#REF!</definedName>
    <definedName name="밴드2">#REF!</definedName>
    <definedName name="UNIMUX">#REF!</definedName>
    <definedName name="명취부1">#REF!</definedName>
    <definedName name="표시찰철거">#REF!</definedName>
    <definedName name="전문가기술료">#REF!</definedName>
    <definedName name="광코드41">#REF!</definedName>
    <definedName name="전원선포설">#REF!</definedName>
    <definedName name="_VLX4">#REF!</definedName>
    <definedName name="경영2000">#REF!</definedName>
    <definedName name="MUXOJC1">#REF!</definedName>
    <definedName name="DB고급">#REF!</definedName>
    <definedName name="minus">#REF!</definedName>
    <definedName name="라6">#REF!</definedName>
    <definedName name="설치6">#REF!</definedName>
    <definedName name="PRICE">#REF!</definedName>
    <definedName name="typepart">#REF!</definedName>
    <definedName name="_ind33">#REF!</definedName>
    <definedName name="_MX7">#REF!</definedName>
    <definedName name="xref">#REF!</definedName>
    <definedName name="IDF취부">#REF!</definedName>
    <definedName name="초급기능사노임">#REF!</definedName>
    <definedName name="하수도인일">#REF!</definedName>
    <definedName name="B">#REF!</definedName>
    <definedName name="취부밴드">#REF!</definedName>
    <definedName name="개통시험3">#REF!</definedName>
    <definedName name="한생마산">#REF!</definedName>
    <definedName name="계산범위">#REF!</definedName>
    <definedName name="PRT이설">#REF!</definedName>
    <definedName name="차량무전기이설">#REF!</definedName>
    <definedName name="슬리브">#REF!</definedName>
    <definedName name="노무비계">#REF!</definedName>
    <definedName name="산재2">#REF!</definedName>
    <definedName name="크리트">#REF!</definedName>
    <definedName name="도화중급">#REF!</definedName>
    <definedName name="_MX8">#REF!</definedName>
    <definedName name="전문인력개발인건비">#REF!</definedName>
    <definedName name="고급여비">#REF!</definedName>
    <definedName name="고급기술자노임">#REF!</definedName>
    <definedName name="옥내케이블">#REF!</definedName>
    <definedName name="중급기능사노임">#REF!</definedName>
    <definedName name="select_ti">#REF!</definedName>
    <definedName name="DM">#REF!</definedName>
    <definedName name="개발뱃치1">#REF!</definedName>
    <definedName name="OCOJC2">#REF!</definedName>
    <definedName name="가격범위">#REF!</definedName>
    <definedName name="_MX9">#REF!</definedName>
    <definedName name="낙찰율">#REF!</definedName>
    <definedName name="접지봉시설">#REF!</definedName>
    <definedName name="자동전화기이설">#REF!</definedName>
    <definedName name="ASTECOM">#REF!</definedName>
    <definedName name="도화기상각">#REF!</definedName>
    <definedName name="연장">#REF!</definedName>
    <definedName name="_ind14">#REF!</definedName>
    <definedName name="다5">#REF!</definedName>
    <definedName name="측중기">#REF!</definedName>
    <definedName name="_PB3">#REF!</definedName>
    <definedName name="CQAD">#REF!</definedName>
    <definedName name="총공사비">#REF!</definedName>
    <definedName name="일반">#REF!</definedName>
    <definedName name="광코드14">#REF!</definedName>
    <definedName name="ONIU">#REF!</definedName>
    <definedName name="CHAR1">#REF!</definedName>
    <definedName name="cc">#REF!</definedName>
    <definedName name="RANGE">#REF!</definedName>
    <definedName name="최종시험">#REF!</definedName>
    <definedName name="Function_List">#REF!</definedName>
    <definedName name="IDF통">#REF!</definedName>
    <definedName name="강재포설">#REF!</definedName>
    <definedName name="모니터이설">#REF!</definedName>
    <definedName name="rank">#REF!</definedName>
    <definedName name="상수도연장">#REF!</definedName>
    <definedName name="재료비계">#REF!</definedName>
    <definedName name="_ind28">#REF!</definedName>
    <definedName name="내선">#REF!</definedName>
    <definedName name="ndFile2Cost">#REF!</definedName>
    <definedName name="아답터">#REF!</definedName>
    <definedName name="옥내접지2">#REF!</definedName>
    <definedName name="FDMOJC3">#REF!</definedName>
    <definedName name="밴드1">#REF!</definedName>
    <definedName name="자동전화기신설">#REF!</definedName>
    <definedName name="개발언어보정계수">#REF!</definedName>
    <definedName name="_OFD96">#REF!</definedName>
    <definedName name="OTRA">#REF!</definedName>
    <definedName name="DB보통">#REF!</definedName>
    <definedName name="탐사장비비">#REF!</definedName>
    <definedName name="백사십">#REF!</definedName>
    <definedName name="환율">#REF!</definedName>
    <definedName name="임대비">#REF!</definedName>
    <definedName name="RACK1">#REF!</definedName>
    <definedName name="광11">#REF!</definedName>
    <definedName name="봉시설1">#REF!</definedName>
    <definedName name="지적기사1">#REF!</definedName>
    <definedName name="EI_Name">#REF!</definedName>
    <definedName name="MQ">#REF!</definedName>
    <definedName name="_ind13">#REF!</definedName>
    <definedName name="JAE_K">#REF!</definedName>
    <definedName name="_ind22">#REF!</definedName>
    <definedName name="_MX14">#REF!</definedName>
    <definedName name="사업자상수도인건비">#REF!</definedName>
    <definedName name="ASP공수">#REF!</definedName>
    <definedName name="_OP3">#REF!</definedName>
    <definedName name="_OP4">#REF!</definedName>
    <definedName name="__123Graph_X그래프2">#REF!</definedName>
    <definedName name="_OP10">#REF!</definedName>
    <definedName name="경영99">#REF!</definedName>
    <definedName name="TransFunc">#REF!</definedName>
    <definedName name="FLCOJC2">#REF!</definedName>
    <definedName name="da_conv">#REF!</definedName>
    <definedName name="_FLC1">#REF!</definedName>
    <definedName name="광코드20">#REF!</definedName>
    <definedName name="이윤">#REF!</definedName>
    <definedName name="수정20">#REF!</definedName>
    <definedName name="RACK13">#REF!</definedName>
    <definedName name="관로4">#REF!</definedName>
    <definedName name="select_ij1">#REF!</definedName>
    <definedName name="중급엔지니어링">#REF!</definedName>
    <definedName name="명찰취부2">#REF!</definedName>
    <definedName name="이름">#REF!</definedName>
    <definedName name="화면">#REF!</definedName>
    <definedName name="고용2">#REF!</definedName>
    <definedName name="이전가">#REF!</definedName>
    <definedName name="재석표시기이설">#REF!</definedName>
    <definedName name="PDP">#REF!</definedName>
    <definedName name="개통시험2">#REF!</definedName>
    <definedName name="지선시설">#REF!</definedName>
    <definedName name="PC신설">#REF!</definedName>
    <definedName name="특급기술자노임">#REF!</definedName>
    <definedName name="_ind31">#REF!</definedName>
    <definedName name="중기">#REF!</definedName>
    <definedName name="실업자인건비">#REF!</definedName>
    <definedName name="ETL">#REF!</definedName>
    <definedName name="수정18">#REF!</definedName>
    <definedName name="상준">#REF!</definedName>
    <definedName name="광코드04">#REF!</definedName>
    <definedName name="PE1열">#REF!</definedName>
    <definedName name="as">#REF!</definedName>
    <definedName name="직접노무2">#REF!</definedName>
    <definedName name="EI_first_row">#REF!</definedName>
    <definedName name="_MX3">#REF!</definedName>
    <definedName name="UNI_OFAT">#REF!</definedName>
    <definedName name="자동전화기철거">#REF!</definedName>
    <definedName name="곡관">#REF!</definedName>
    <definedName name="가합">#REF!</definedName>
    <definedName name="예산조서2">#REF!</definedName>
    <definedName name="지적기능사1">#REF!</definedName>
    <definedName name="슬리브2">#REF!</definedName>
    <definedName name="FLCDS1">#REF!</definedName>
    <definedName name="SW개발상시인력">#REF!</definedName>
    <definedName name="벽철취부">#REF!</definedName>
    <definedName name="__123Graph_B그래프2">#REF!</definedName>
    <definedName name="업무">#REF!</definedName>
    <definedName name="전문_전기_정보통신_소방공사_기타공사">#REF!</definedName>
    <definedName name="안전">#REF!</definedName>
    <definedName name="전문가">#REF!</definedName>
    <definedName name="광케이블포설1">#REF!</definedName>
    <definedName name="장비분류">#REF!</definedName>
    <definedName name="_FDM6">#REF!</definedName>
    <definedName name="_ind23">#REF!</definedName>
    <definedName name="도화초급">#REF!</definedName>
    <definedName name="quad_e">#REF!</definedName>
    <definedName name="다4">#REF!</definedName>
    <definedName name="광단국5">#REF!</definedName>
    <definedName name="경완금2">#REF!</definedName>
    <definedName name="_VLX8">#REF!</definedName>
    <definedName name="광코드02">#REF!</definedName>
    <definedName name="수정10">#REF!</definedName>
    <definedName name="product">#REF!</definedName>
    <definedName name="봉시설2">#REF!</definedName>
    <definedName name="EI">#REF!</definedName>
    <definedName name="용지단가">#REF!</definedName>
    <definedName name="RACK5">#REF!</definedName>
    <definedName name="mot">#REF!</definedName>
    <definedName name="_PB2">#REF!</definedName>
    <definedName name="_OFD24">#REF!</definedName>
    <definedName name="E1_3240">#REF!</definedName>
    <definedName name="이설5">#REF!</definedName>
    <definedName name="개발온라인1">#REF!</definedName>
    <definedName name="변동폭">#REF!</definedName>
    <definedName name="접속">#REF!</definedName>
    <definedName name="설치4">#REF!</definedName>
    <definedName name="DART">#REF!</definedName>
    <definedName name="조정이윤">#REF!</definedName>
    <definedName name="RACK2">#REF!</definedName>
    <definedName name="방수장치">#REF!</definedName>
    <definedName name="광점퍼코트3M">#REF!</definedName>
    <definedName name="활석공">#REF!</definedName>
    <definedName name="전자시계철거">#REF!</definedName>
    <definedName name="CQMUX">#REF!</definedName>
    <definedName name="OCV">#REF!</definedName>
    <definedName name="하수도조사탐사기간">#REF!</definedName>
    <definedName name="인력수">#REF!</definedName>
    <definedName name="환율1200">#REF!</definedName>
    <definedName name="_PE2">#REF!</definedName>
    <definedName name="UNIOJC1">#REF!</definedName>
    <definedName name="MODEL">#REF!</definedName>
    <definedName name="V35_3240">#REF!</definedName>
    <definedName name="원_가">#REF!</definedName>
    <definedName name="_OIU1">#REF!</definedName>
    <definedName name="기조">#REF!</definedName>
    <definedName name="철거">#REF!</definedName>
    <definedName name="크램프2">#REF!</definedName>
    <definedName name="범위">#REF!</definedName>
    <definedName name="복리2">#REF!</definedName>
    <definedName name="e">#REF!</definedName>
    <definedName name="Plotter비용">#REF!</definedName>
    <definedName name="경비계">#REF!</definedName>
    <definedName name="SW직접인건비">#REF!</definedName>
    <definedName name="cq_t">#REF!</definedName>
    <definedName name="일반관리비_공종">#REF!</definedName>
    <definedName name="CHAR2">#REF!</definedName>
    <definedName name="ASTE4W">#REF!</definedName>
    <definedName name="지수제처리">#REF!</definedName>
    <definedName name="flc_mcu">#REF!</definedName>
    <definedName name="다기능전화기이설">#REF!</definedName>
    <definedName name="PE포설2">#REF!</definedName>
    <definedName name="통신케이블공">#REF!</definedName>
    <definedName name="관로청소">#REF!</definedName>
    <definedName name="전문단가">#REF!</definedName>
    <definedName name="가3">#REF!</definedName>
    <definedName name="L서버내용">#REF!</definedName>
    <definedName name="ASTE_PSU">#REF!</definedName>
    <definedName name="_ind3">#REF!</definedName>
    <definedName name="가공포설">#REF!</definedName>
    <definedName name="통신내">#REF!</definedName>
    <definedName name="후렉시블시설">#REF!</definedName>
    <definedName name="고용">#REF!</definedName>
    <definedName name="_ind25">#REF!</definedName>
    <definedName name="OIU_NIU">#REF!</definedName>
    <definedName name="전원선포설1">#REF!</definedName>
    <definedName name="소용량충전기">#REF!</definedName>
    <definedName name="_OP1">#REF!</definedName>
    <definedName name="초급측량">#REF!</definedName>
    <definedName name="나4">#REF!</definedName>
    <definedName name="함체1">#REF!</definedName>
    <definedName name="광코드64">#REF!</definedName>
    <definedName name="CM7lic">#REF!</definedName>
    <definedName name="나2">#REF!</definedName>
    <definedName name="명철거2">#REF!</definedName>
    <definedName name="광코드3">#REF!</definedName>
    <definedName name="마산영업국">#REF!</definedName>
    <definedName name="도면가격2">#REF!</definedName>
    <definedName name="수정12">#REF!</definedName>
    <definedName name="접지선시설1">#REF!</definedName>
    <definedName name="ASTE_OCUDPAR">#REF!</definedName>
    <definedName name="_ind30">#REF!</definedName>
    <definedName name="NEWNOIM">#REF!</definedName>
    <definedName name="MUX7104_1">#REF!</definedName>
    <definedName name="중급항공사진">#REF!</definedName>
    <definedName name="select_gs">#REF!</definedName>
    <definedName name="접속후시험">#REF!</definedName>
    <definedName name="_ind20">#REF!</definedName>
    <definedName name="select_ij3">#REF!</definedName>
    <definedName name="낙찰">#REF!</definedName>
    <definedName name="실업자입력인건비">#REF!</definedName>
    <definedName name="Unix_Sum94">#REF!</definedName>
    <definedName name="OFAT">#REF!</definedName>
    <definedName name="분배함취부">#REF!</definedName>
    <definedName name="관로선통">#REF!</definedName>
    <definedName name="분배함철거">#REF!</definedName>
    <definedName name="다6">#REF!</definedName>
    <definedName name="ACCES">#REF!</definedName>
    <definedName name="OCOJC3">#REF!</definedName>
    <definedName name="중능">#REF!</definedName>
    <definedName name="CPEV">#REF!</definedName>
    <definedName name="모니터신설">#REF!</definedName>
    <definedName name="사재3">#REF!</definedName>
    <definedName name="광단국2">#REF!</definedName>
    <definedName name="_ind19">#REF!</definedName>
    <definedName name="크램프1">#REF!</definedName>
    <definedName name="_ind4">#REF!</definedName>
    <definedName name="통신케">#REF!</definedName>
    <definedName name="라5">#REF!</definedName>
    <definedName name="보통단가">#REF!</definedName>
    <definedName name="근로자계수">#REF!</definedName>
    <definedName name="_Table1_Out">#REF!</definedName>
    <definedName name="회사분계">#REF!</definedName>
    <definedName name="반경관">#REF!</definedName>
    <definedName name="회사분">#REF!</definedName>
    <definedName name="강관주">#REF!</definedName>
    <definedName name="회사">#REF!</definedName>
    <definedName name="스피커신설">#REF!</definedName>
    <definedName name="초급기술자노임">#REF!</definedName>
    <definedName name="_ind12">#REF!</definedName>
    <definedName name="지도제작초급">#REF!</definedName>
    <definedName name="SW개발기간">#REF!</definedName>
    <definedName name="PCM">#REF!</definedName>
    <definedName name="TSI">#REF!</definedName>
    <definedName name="접지매설">#REF!</definedName>
    <definedName name="성과심사비율">#REF!</definedName>
    <definedName name="아답타">#REF!</definedName>
    <definedName name="_ind6">#REF!</definedName>
    <definedName name="속중기">#REF!</definedName>
    <definedName name="ASTEPSU">#REF!</definedName>
    <definedName name="사업기간">#REF!</definedName>
    <definedName name="RACK9">#REF!</definedName>
    <definedName name="CQE">#REF!</definedName>
    <definedName name="운송">#REF!</definedName>
    <definedName name="회재">#REF!</definedName>
    <definedName name="함체30">#REF!</definedName>
    <definedName name="com">#REF!</definedName>
    <definedName name="밴드취부">#REF!</definedName>
    <definedName name="탐사중급">#REF!</definedName>
    <definedName name="회경">#REF!</definedName>
    <definedName name="함체">#REF!</definedName>
    <definedName name="CZ">#REF!</definedName>
    <definedName name="ASTE">#REF!</definedName>
    <definedName name="ndFile1Net">#REF!</definedName>
    <definedName name="개통시험비">#REF!</definedName>
    <definedName name="보통인부">#REF!</definedName>
    <definedName name="g">#REF!</definedName>
    <definedName name="직접경비총액">#REF!</definedName>
    <definedName name="가">#REF!</definedName>
    <definedName name="이전코드">#REF!</definedName>
    <definedName name="본사재료비">#REF!</definedName>
    <definedName name="Trans_Func">#REF!</definedName>
    <definedName name="PE">#REF!</definedName>
    <definedName name="소비자환율">#REF!</definedName>
    <definedName name="RACK8">#REF!</definedName>
    <definedName name="접지선매설">#REF!</definedName>
    <definedName name="RACK설치">#REF!</definedName>
    <definedName name="장비분류_1">#REF!</definedName>
    <definedName name="근가">#REF!</definedName>
    <definedName name="재석표시기철거">#REF!</definedName>
    <definedName name="속중능">#REF!</definedName>
    <definedName name="RATE1">#REF!</definedName>
    <definedName name="조가선">#REF!</definedName>
    <definedName name="개발원가">#REF!</definedName>
    <definedName name="LastRow">#REF!</definedName>
    <definedName name="콘전주">#REF!</definedName>
    <definedName name="_MX6">#REF!</definedName>
    <definedName name="_ind24">#REF!</definedName>
    <definedName name="개발장비임대료">#REF!</definedName>
    <definedName name="함체신설">#REF!</definedName>
    <definedName name="광수신감도">#REF!</definedName>
    <definedName name="광5">#REF!</definedName>
    <definedName name="select_ij2">#REF!</definedName>
    <definedName name="일비공종">#REF!</definedName>
    <definedName name="간접노무">#REF!</definedName>
    <definedName name="고기">#REF!</definedName>
    <definedName name="사급경비2">#REF!</definedName>
    <definedName name="PCSW비용">#REF!</definedName>
    <definedName name="가2">#REF!</definedName>
    <definedName name="국내성단">#REF!</definedName>
    <definedName name="앙카설치">#REF!</definedName>
    <definedName name="ndFile1Cost">#REF!</definedName>
    <definedName name="수정5">#REF!</definedName>
    <definedName name="FLCDS3">#REF!</definedName>
    <definedName name="광6">#REF!</definedName>
    <definedName name="굴착3">#REF!</definedName>
    <definedName name="재석표시기신설">#REF!</definedName>
    <definedName name="초급기술자">#REF!</definedName>
    <definedName name="EMU">#REF!</definedName>
    <definedName name="사리도">#REF!</definedName>
    <definedName name="PPLINK1">#REF!</definedName>
    <definedName name="중급여비">#REF!</definedName>
    <definedName name="MUXOJC2">#REF!</definedName>
    <definedName name="조가선철거">#REF!</definedName>
    <definedName name="고압">#REF!</definedName>
    <definedName name="사업자인력관리비">#REF!</definedName>
    <definedName name="행가1">#REF!</definedName>
    <definedName name="수정2">#REF!</definedName>
    <definedName name="이설4">#REF!</definedName>
    <definedName name="PPLINK_T">#REF!</definedName>
    <definedName name="SW개발사무실임대비">#REF!</definedName>
    <definedName name="DB입력인일">#REF!</definedName>
    <definedName name="초급항공사진">#REF!</definedName>
    <definedName name="포장공">#REF!</definedName>
    <definedName name="고급도화">#REF!</definedName>
    <definedName name="지적기능사2">#REF!</definedName>
    <definedName name="cpu">#REF!</definedName>
    <definedName name="모뎀이설">#REF!</definedName>
    <definedName name="CVVS14">#REF!</definedName>
    <definedName name="모니터철거">#REF!</definedName>
    <definedName name="고급지도제작">#REF!</definedName>
    <definedName name="_NIU1">#REF!</definedName>
    <definedName name="스파취부2">#REF!</definedName>
    <definedName name="_OFD3">#REF!</definedName>
    <definedName name="도급자재">#REF!</definedName>
    <definedName name="광코드01">#REF!</definedName>
    <definedName name="경완금">#REF!</definedName>
    <definedName name="_PP2">#REF!</definedName>
    <definedName name="회사계">#REF!</definedName>
    <definedName name="광코드12">#REF!</definedName>
    <definedName name="hb_a">#REF!</definedName>
    <definedName name="아굴착">#REF!</definedName>
    <definedName name="UNIRS232">#REF!</definedName>
    <definedName name="_OP8">#REF!</definedName>
    <definedName name="명찰1">#REF!</definedName>
    <definedName name="flc_blank2">#REF!</definedName>
    <definedName name="보통인력개발인건비">#REF!</definedName>
    <definedName name="바인드신설2">#REF!</definedName>
    <definedName name="설치1">#REF!</definedName>
    <definedName name="플렉시블">#REF!</definedName>
    <definedName name="h_w시험">#REF!</definedName>
    <definedName name="OTRU_B">#REF!</definedName>
    <definedName name="전문">#REF!</definedName>
    <definedName name="국내포설">#REF!</definedName>
    <definedName name="접지봉">#REF!</definedName>
    <definedName name="롯드">#REF!</definedName>
    <definedName name="부대비용">#REF!</definedName>
    <definedName name="써콘해체">#REF!</definedName>
    <definedName name="스파취부1">#REF!</definedName>
    <definedName name="_OC1">#REF!</definedName>
    <definedName name="실업전문인력비율">#REF!</definedName>
    <definedName name="수도2">#REF!</definedName>
    <definedName name="시가지비율">#REF!</definedName>
    <definedName name="CDC">#REF!</definedName>
    <definedName name="광코드62">#REF!</definedName>
    <definedName name="공보">#REF!</definedName>
    <definedName name="조정이윤2">#REF!</definedName>
    <definedName name="ndFile3Cost">#REF!</definedName>
    <definedName name="절사">#REF!</definedName>
    <definedName name="_ind15">#REF!</definedName>
    <definedName name="ndFile2Maint">#REF!</definedName>
    <definedName name="보험료율">#REF!</definedName>
    <definedName name="CVVS55">#REF!</definedName>
    <definedName name="cq_r">#REF!</definedName>
    <definedName name="총주스텝수">#REF!</definedName>
    <definedName name="OCE">#REF!</definedName>
    <definedName name="프린터대여비">#REF!</definedName>
    <definedName name="MUXT">#REF!</definedName>
    <definedName name="재료">#REF!</definedName>
    <definedName name="특기">#REF!</definedName>
    <definedName name="수정4">#REF!</definedName>
    <definedName name="ABC">#REF!</definedName>
    <definedName name="실업인력비율">#REF!</definedName>
    <definedName name="매당가격">#REF!</definedName>
    <definedName name="도화고급">#REF!</definedName>
    <definedName name="ndFile1Maint">#REF!</definedName>
    <definedName name="IDF_S02">#REF!</definedName>
    <definedName name="고급항공사진">#REF!</definedName>
    <definedName name="Book1_Sheet2_List">#REF!</definedName>
    <definedName name="ASP모래2">#REF!</definedName>
    <definedName name="ASP표층">#REF!</definedName>
    <definedName name="소프트웨어개발인일">#REF!</definedName>
    <definedName name="회사계2">#REF!</definedName>
    <definedName name="도서">#REF!</definedName>
    <definedName name="flc_clk">#REF!</definedName>
    <definedName name="IDF직노">#REF!</definedName>
    <definedName name="Print_Titles_MI">#REF!</definedName>
    <definedName name="접지슬리브">#REF!</definedName>
    <definedName name="크리트설치">#REF!</definedName>
    <definedName name="PC대여비">#REF!</definedName>
    <definedName name="RACK3">#REF!</definedName>
    <definedName name="함체50">#REF!</definedName>
    <definedName name="GV_14">#REF!</definedName>
    <definedName name="사원">#REF!</definedName>
    <definedName name="밴드철거">#REF!</definedName>
    <definedName name="접지">#REF!</definedName>
    <definedName name="후렉시블">#REF!</definedName>
    <definedName name="변동코드">#REF!</definedName>
    <definedName name="flc_ds3">#REF!</definedName>
    <definedName name="써콘">#REF!</definedName>
    <definedName name="OTRU_A">#REF!</definedName>
    <definedName name="접지봉시설2">#REF!</definedName>
    <definedName name="새들">#REF!</definedName>
    <definedName name="MAIN">#REF!</definedName>
    <definedName name="EA">#REF!</definedName>
    <definedName name="인쇄량">#REF!</definedName>
    <definedName name="_FDM2">#REF!</definedName>
    <definedName name="항공사진고급">#REF!</definedName>
    <definedName name="광코드71">#REF!</definedName>
    <definedName name="ASP긍장">#REF!</definedName>
    <definedName name="ILF">#REF!</definedName>
    <definedName name="DSU">#REF!</definedName>
    <definedName name="MCU">#REF!</definedName>
    <definedName name="통신설비공">#REF!</definedName>
    <definedName name="산재">#REF!</definedName>
    <definedName name="_ind27">#REF!</definedName>
    <definedName name="측초기">#REF!</definedName>
    <definedName name="사급재료">#REF!</definedName>
    <definedName name="_ind9">#REF!</definedName>
    <definedName name="촬영사">#REF!</definedName>
    <definedName name="_OFD2">#REF!</definedName>
    <definedName name="사업자입력인건비">#REF!</definedName>
    <definedName name="도급재료2">#REF!</definedName>
    <definedName name="철거기별">#REF!</definedName>
    <definedName name="산재보험적용사업">#REF!</definedName>
    <definedName name="RACK6">#REF!</definedName>
    <definedName name="지수제">#REF!</definedName>
    <definedName name="단자">#REF!</definedName>
    <definedName name="PRT철거">#REF!</definedName>
    <definedName name="ASP윗면">#REF!</definedName>
    <definedName name="입력기간">#REF!</definedName>
    <definedName name="ASP깊이">#REF!</definedName>
    <definedName name="배관">#REF!</definedName>
    <definedName name="기자재수량">#REF!</definedName>
    <definedName name="차량무전기신설">#REF!</definedName>
    <definedName name="안전2">#REF!</definedName>
    <definedName name="코드1">#REF!</definedName>
    <definedName name="UNICPU">#REF!</definedName>
    <definedName name="광코드54">#REF!</definedName>
    <definedName name="PE2열">#REF!</definedName>
    <definedName name="시작">#REF!</definedName>
    <definedName name="바인드신설1">#REF!</definedName>
    <definedName name="타이">#REF!</definedName>
    <definedName name="전문가제경비">#REF!</definedName>
    <definedName name="_OP9">#REF!</definedName>
    <definedName name="강관건주">#REF!</definedName>
  </definedNames>
  <calcPr/>
  <extLst>
    <ext uri="GoogleSheetsCustomDataVersion2">
      <go:sheetsCustomData xmlns:go="http://customooxmlschemas.google.com/" r:id="rId67" roundtripDataChecksum="j3g/QmIHYgjCkyLyx6R0r5Eh9fb1iohmSecOfXRzHjo="/>
    </ext>
  </extLst>
</workbook>
</file>

<file path=xl/sharedStrings.xml><?xml version="1.0" encoding="utf-8"?>
<sst xmlns="http://schemas.openxmlformats.org/spreadsheetml/2006/main" count="186" uniqueCount="134">
  <si>
    <t>개정이력</t>
  </si>
  <si>
    <t>버전</t>
  </si>
  <si>
    <t>개정일자</t>
  </si>
  <si>
    <t>개정내용</t>
  </si>
  <si>
    <t>작성자</t>
  </si>
  <si>
    <t>승인자</t>
  </si>
  <si>
    <t>견 적 서</t>
  </si>
  <si>
    <t>견적일자 : 2026년 5월 16일</t>
  </si>
  <si>
    <t xml:space="preserve"> 사업자등록번호 : 517-86-02422</t>
  </si>
  <si>
    <t>수      신 : 공주대학교 지역사회특화센터 한혜진님</t>
  </si>
  <si>
    <t xml:space="preserve"> 상   호 : 투지넥스트</t>
  </si>
  <si>
    <t xml:space="preserve"> 대   표 : 최 정 윤</t>
  </si>
  <si>
    <t xml:space="preserve"> 소재지 : 강서구 등촌로 13길 73, 302호</t>
  </si>
  <si>
    <t>담  당 자 : 차상인 이사(010-5188-1823)</t>
  </si>
  <si>
    <t xml:space="preserve"> 업   태 : 정보통신업</t>
  </si>
  <si>
    <r>
      <rPr>
        <rFont val="Malgun Gothic"/>
        <color theme="1"/>
        <sz val="11.0"/>
      </rPr>
      <t xml:space="preserve"> 종  목 :</t>
    </r>
    <r>
      <rPr>
        <rFont val="맑은 고딕"/>
        <color theme="1"/>
        <sz val="10.0"/>
      </rPr>
      <t xml:space="preserve"> 시스템 통합 자문 및 구축</t>
    </r>
  </si>
  <si>
    <t>견적유효일: 견적일로 부터 1개월</t>
  </si>
  <si>
    <t xml:space="preserve"> 전   화 : 010-5188-1823</t>
  </si>
  <si>
    <t xml:space="preserve"> 팩  스 : </t>
  </si>
  <si>
    <t>일금 : 오천만원정 (₩50,000,000_VAT별도)</t>
  </si>
  <si>
    <t>번호</t>
  </si>
  <si>
    <t>내역</t>
  </si>
  <si>
    <t>수량</t>
  </si>
  <si>
    <t>단가</t>
  </si>
  <si>
    <t>공급금액</t>
  </si>
  <si>
    <t>비고</t>
  </si>
  <si>
    <t>#</t>
  </si>
  <si>
    <t>USCP 플랫폼 구축 및 3년차 유지보수비 산정</t>
  </si>
  <si>
    <t>분석·설계</t>
  </si>
  <si>
    <t xml:space="preserve"> 사전 준비 및 분석
  - 요구사항 분석
  - UI 및 메뉴 설계 
  - DB 설계
  - 소개 페이지 작성</t>
  </si>
  <si>
    <t>PM·아키텍트·UI/UX 협업 (고급)</t>
  </si>
  <si>
    <t>개발</t>
  </si>
  <si>
    <t xml:space="preserve"> 회원·인증 모듈
  - 회원가입
  - 로그인
  - 비밀번호 및 프로필 변경
  - 회원 탈퇴
  - 이용약관
  - 개인정보처리방침</t>
  </si>
  <si>
    <t>풀스택 중급</t>
  </si>
  <si>
    <t xml:space="preserve"> 지역문제 제보·게이트키핑 모듈 
  - 제보·공감투표·댓글
  - 6단계 워크플로우
  - 이메일 알림</t>
  </si>
  <si>
    <t xml:space="preserve"> 리빙랩 운영 모듈
  - 등록·활동 타임라인
  - 산출물 DB
  - 성공사례 4단계 스토리</t>
  </si>
  <si>
    <t xml:space="preserve"> 멘토단·학생팀 매칭 모듈
  - 멘토 자격 부여
  - 학생팀 구성
  - 팀원 매칭 관리
  - 이메일 통보</t>
  </si>
  <si>
    <t xml:space="preserve"> 협력 네트워크 모듈
  - 협력기관
  - MOU
  - 프로그램
  - 커뮤니티</t>
  </si>
  <si>
    <t>성과자료 모듈
  - 성과지표 연동
  - 실적 입력·자동 집계
  - 엑셀 다운로드</t>
  </si>
  <si>
    <t>기능 최소화</t>
  </si>
  <si>
    <t>콘텐츠 관리 모듈
  - 게시판 생성(공지·이벤트·자료실·배너·약관 버전)
  - 콘텐츠 편집기</t>
  </si>
  <si>
    <t>권한·감사 모듈 
  - 감사 로그
  - 로그인·이벤트 이력
  - 시스템 로그</t>
  </si>
  <si>
    <t>공통 컴포넌트
  - 홈·통계·5개 지역 지도
  - 이메일 발송 큐
  -·카카오맵·SMTP 연동</t>
  </si>
  <si>
    <t>고급</t>
  </si>
  <si>
    <t>시범운영</t>
  </si>
  <si>
    <t>피드백·핫픽스·운영 매뉴얼 작성</t>
  </si>
  <si>
    <t>-</t>
  </si>
  <si>
    <t>구축비소계</t>
  </si>
  <si>
    <t>분석·설계 + 개발 9모듈 + 시범운영</t>
  </si>
  <si>
    <t>유지보수 1년차</t>
  </si>
  <si>
    <t>무상 (구축비 포함) — 버그 수정·서버 장애 대응·경미한 UI 수정</t>
  </si>
  <si>
    <t>유지보수 2년차</t>
  </si>
  <si>
    <t>Basic — 장애 대응·정기 점검·소규모 요청 (월 50만 원 기준)</t>
  </si>
  <si>
    <t>유지보수 3년차</t>
  </si>
  <si>
    <t>유지보수 소계 (2~3년차)</t>
  </si>
  <si>
    <t>3년 통합 공급가 합계</t>
  </si>
  <si>
    <t>구축 + 유지보수 1~3년차</t>
  </si>
  <si>
    <t>VAT 10% (별도)</t>
  </si>
  <si>
    <t>합계</t>
  </si>
  <si>
    <t>부가세 포함 총액</t>
  </si>
  <si>
    <t>끝.</t>
  </si>
  <si>
    <t>구분</t>
  </si>
  <si>
    <t>기능명 (기능내역)</t>
  </si>
  <si>
    <t>단가 (원/M/M)</t>
  </si>
  <si>
    <t>수량 (M/M)</t>
  </si>
  <si>
    <t>공급금액 (원)</t>
  </si>
  <si>
    <t>요구사항 분석·UI 설계·메뉴 구조·DB 설계·업체 계약</t>
  </si>
  <si>
    <t>PM·아키텍트·UI/UX 협업 (고급 평균)</t>
  </si>
  <si>
    <t>회원·인증 모듈 (회원가입·로그인·비밀번호·프로필)</t>
  </si>
  <si>
    <t>지역문제 제보·게이트키핑 모듈 (제보·공감투표·댓글·6단계 워크플로우·이메일 알림)</t>
  </si>
  <si>
    <t>핵심 워크플로우</t>
  </si>
  <si>
    <t>리빙랩 운영 모듈 (등록·활동 타임라인·산출물 DB·성공사례 4단계 스토리)</t>
  </si>
  <si>
    <t>멘토단·학생팀 매칭 모듈 (자격 부여·학생팀 구성·수동 매칭·이메일 통보)</t>
  </si>
  <si>
    <t>협력 네트워크 모듈 (협력기관·MOU·프로그램·커뮤니티)</t>
  </si>
  <si>
    <t>성과자료 모듈 (성과지표 연동·실적 입력·자동 집계·CSV 다운로드)</t>
  </si>
  <si>
    <t>콘텐츠 관리 (CMS 부분) 모듈 (공지·이벤트 WYSIWYG·자료실·배너·약관 버전)</t>
  </si>
  <si>
    <t>권한·감사 모듈 (단일 역할·감사 로그·로그인 이력)</t>
  </si>
  <si>
    <t>단일 역할 단순화</t>
  </si>
  <si>
    <t>공통 컴포넌트 (홈·통계·5개 지역 지도·이메일 발송 큐·카카오맵·SMTP 연동)</t>
  </si>
  <si>
    <t>UAT·피드백·핫픽스·운영 매뉴얼 작성</t>
  </si>
  <si>
    <t>PM·QA 협업</t>
  </si>
  <si>
    <t>—</t>
  </si>
  <si>
    <t>구축비 소계</t>
  </si>
  <si>
    <t>(분석·설계 + 개발 9모듈 + 시범운영)</t>
  </si>
  <si>
    <t>10.5 M/M</t>
  </si>
  <si>
    <t>약 3,800만 원</t>
  </si>
  <si>
    <t>2026.12~2027.12</t>
  </si>
  <si>
    <t>2027.12~2028.12 (12개월 × 0.1 M/M)</t>
  </si>
  <si>
    <t>2028.12~2029.12 (12개월 × 0.1 M/M)</t>
  </si>
  <si>
    <t>2.4 M/M</t>
  </si>
  <si>
    <t>1,200만 원</t>
  </si>
  <si>
    <t>(구축 + 유지보수 1~3년차)</t>
  </si>
  <si>
    <t>12.9 M/M</t>
  </si>
  <si>
    <t>5,000만 원 (공급가 한도 정확히 도달)</t>
  </si>
  <si>
    <t>500만 원</t>
  </si>
  <si>
    <t>5,500만 원</t>
  </si>
  <si>
    <t>2025년 적용 SW기술자 평균임금 공표</t>
  </si>
  <si>
    <t xml:space="preserve">통계법 제27조(통계의 공표)에 따라 『2024년 SW기술자 임금실태조사 (통계승인 제375001호)』의 결과로 다음과 같이 SW기술자 평균임금을 공표합니다. </t>
  </si>
  <si>
    <t>【SW기술자 평균임금】</t>
  </si>
  <si>
    <t>(단위: 원)</t>
  </si>
  <si>
    <t>구 분</t>
  </si>
  <si>
    <t>월평균임금(M/M)</t>
  </si>
  <si>
    <t>일평균임금
(M/D)</t>
  </si>
  <si>
    <t>시간평균임금(M/H)</t>
  </si>
  <si>
    <t>포함직무</t>
  </si>
  <si>
    <t>① IT기획자</t>
  </si>
  <si>
    <t>② IT컨설턴트</t>
  </si>
  <si>
    <t>정보보호컨설턴트</t>
  </si>
  <si>
    <t>③ 업무분석가</t>
  </si>
  <si>
    <t>④ 데이터분석가</t>
  </si>
  <si>
    <t>⑤ IT PM</t>
  </si>
  <si>
    <t>⑥ IT아키텍트</t>
  </si>
  <si>
    <t>SW아키텍트, 데이터아키텍트, Infrastructure아키텍트, 
데이터베이스아키텍트</t>
  </si>
  <si>
    <t>⑦ UI/UX기획/개발자</t>
  </si>
  <si>
    <t>UI/UX기획자, UI/UX개발자</t>
  </si>
  <si>
    <t>⑧ UI/UX디자이너</t>
  </si>
  <si>
    <t>⑨ 응용SW개발자</t>
  </si>
  <si>
    <t>빅데이터개발자,
인공지능개발자</t>
  </si>
  <si>
    <t>⑩ 시스템SW개발자</t>
  </si>
  <si>
    <t>임베디드SW개발자</t>
  </si>
  <si>
    <t>⑪ 정보시스템운용자</t>
  </si>
  <si>
    <r>
      <rPr>
        <rFont val="나눔고딕"/>
        <color rgb="FF000000"/>
        <sz val="9.0"/>
      </rPr>
      <t>데이터베이스운용자,</t>
    </r>
    <r>
      <rPr>
        <rFont val="맑은 고딕"/>
        <color rgb="FF000000"/>
        <sz val="9.0"/>
      </rPr>
      <t xml:space="preserve"> </t>
    </r>
    <r>
      <rPr>
        <rFont val="나눔고딕"/>
        <color rgb="FF000000"/>
        <sz val="9.0"/>
      </rPr>
      <t>NW엔지니어, IT시스템운용자</t>
    </r>
  </si>
  <si>
    <t>⑫ IT지원기술자</t>
  </si>
  <si>
    <t>⑬ IT마케터</t>
  </si>
  <si>
    <t>SW제품기획자, IT서비스기획자, IT기술영업</t>
  </si>
  <si>
    <t>⑭ IT품질관리자</t>
  </si>
  <si>
    <t>⑮ IT테스터</t>
  </si>
  <si>
    <t>⑯ IT감리</t>
  </si>
  <si>
    <t>⑰ 정보보안전문가</t>
  </si>
  <si>
    <t>정보보호관리자, 
침해사고대응전문가</t>
  </si>
  <si>
    <t>&lt;본 평균임금을 SW사업대가 활용시 유의사항&gt;
 ※ 본 조사결과는 SW사업에서 SW기술자 인건비 평균 값임을 고려하여 활용 가능하며, 수·발주자간 자율적
    협의에 의해서도 유연하게 적용할 수 있음
 * SW기술자 평균임금은 소프트웨어진흥법 제46조(적정 대가 지급 등) 4항 ‘소프트웨어기술자의 인건비 
   기준’을 지칭함
 * SW기술자 평균임금은 기본급, 제수당, 상여금, 퇴직급여충당금, 법인부담금(4대보험)을 모두 포함한 결과임
 * 일평균임금은 월평균임금÷`24년 평균근무일수(20.6일), 시간평균임금은 일평균임금÷8시간 으로 각각 산정함 
 * 월평균 근무일수는 휴일, 법정공휴일 등을 제외한 업체가 응답한 근무일의 평균이며, 이는 개인의 휴가 사용
   여부와는 무관함       
 * SW기술자 평균임금은 전년 대비 4.2% 증가함
 * 25/75 백분위수는 조사된 직무별 임금의 구간, 분포에 대한 참고 값임(백분위수 : 백분위수는 크기가 있는      
   값들로 이뤄진 자료를 순서대로 나열했을 때 백분율로 나타낸 특정 위치의 값을 이르는 용어이다. 
   일반적으로 크기가 작은 것부터 나열하여 가장 작은 것을 0, 가장 큰 것을 100으로 한다.)</t>
  </si>
  <si>
    <t>[시행일] 2025년 1월 1일부터 2025년 12월 31일까지 적용</t>
  </si>
  <si>
    <r>
      <rPr>
        <rFont val="HCI Poppy"/>
        <color rgb="FF000000"/>
        <sz val="13.0"/>
      </rPr>
      <t>2024</t>
    </r>
    <r>
      <rPr>
        <rFont val="맑은 고딕"/>
        <color rgb="FF000000"/>
        <sz val="13.0"/>
      </rPr>
      <t>년</t>
    </r>
    <r>
      <rPr>
        <rFont val="HCI Poppy"/>
        <color rgb="FF000000"/>
        <sz val="13.0"/>
      </rPr>
      <t xml:space="preserve">  12</t>
    </r>
    <r>
      <rPr>
        <rFont val="맑은 고딕"/>
        <color rgb="FF000000"/>
        <sz val="13.0"/>
      </rPr>
      <t>월</t>
    </r>
    <r>
      <rPr>
        <rFont val="HCI Poppy"/>
        <color rgb="FF000000"/>
        <sz val="13.0"/>
      </rPr>
      <t xml:space="preserve">  3</t>
    </r>
    <r>
      <rPr>
        <rFont val="맑은 고딕"/>
        <color rgb="FF000000"/>
        <sz val="13.0"/>
      </rPr>
      <t>일</t>
    </r>
  </si>
  <si>
    <t>한국소프트웨어산업협회장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</si>
</sst>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_-* #,##0_-;\-* #,##0_-;_-* &quot;-&quot;_-;_-@"/>
    <numFmt numFmtId="166" formatCode="yyyy&quot;년&quot; mm&quot;월&quot; dd&quot;일&quot;"/>
  </numFmts>
  <fonts count="25">
    <font>
      <sz val="11.0"/>
      <color theme="1"/>
      <name val="Calibri"/>
      <scheme val="minor"/>
    </font>
    <font>
      <b/>
      <sz val="16.0"/>
      <color theme="1"/>
      <name val="Malgun Gothic"/>
    </font>
    <font/>
    <font>
      <sz val="10.0"/>
      <color theme="1"/>
      <name val="Malgun Gothic"/>
    </font>
    <font>
      <b/>
      <sz val="10.0"/>
      <color theme="1"/>
      <name val="Malgun Gothic"/>
    </font>
    <font>
      <sz val="11.0"/>
      <color theme="1"/>
      <name val="Malgun Gothic"/>
    </font>
    <font>
      <b/>
      <u/>
      <sz val="24.0"/>
      <color theme="1"/>
      <name val="Malgun Gothic"/>
    </font>
    <font>
      <color theme="1"/>
      <name val="Calibri"/>
    </font>
    <font>
      <b/>
      <sz val="14.0"/>
      <color rgb="FF000000"/>
      <name val="Helvetica Neue"/>
    </font>
    <font>
      <b/>
      <sz val="14.0"/>
      <color theme="1"/>
      <name val="Malgun Gothic"/>
    </font>
    <font>
      <b/>
      <sz val="12.0"/>
      <color theme="1"/>
      <name val="Malgun Gothic"/>
    </font>
    <font>
      <b/>
      <sz val="11.0"/>
      <color theme="1"/>
      <name val="Malgun Gothic"/>
    </font>
    <font>
      <sz val="11.0"/>
      <color theme="1"/>
      <name val="Calibri"/>
    </font>
    <font>
      <b/>
      <sz val="8.0"/>
      <color theme="1"/>
      <name val="Malgun Gothic"/>
    </font>
    <font>
      <sz val="12.0"/>
      <color rgb="FF24292E"/>
      <name val="-apple-system"/>
    </font>
    <font>
      <sz val="12.0"/>
      <color rgb="FF24292E"/>
      <name val="Arial"/>
    </font>
    <font>
      <u/>
      <sz val="20.0"/>
      <color rgb="FF000000"/>
      <name val="HY헤드라인M"/>
    </font>
    <font>
      <u/>
      <sz val="20.0"/>
      <color rgb="FF000000"/>
      <name val="HY헤드라인M"/>
    </font>
    <font>
      <sz val="17.0"/>
      <color rgb="FF000000"/>
      <name val="HY헤드라인M"/>
    </font>
    <font>
      <b/>
      <sz val="11.0"/>
      <color rgb="FF000000"/>
      <name val="나눔고딕"/>
    </font>
    <font>
      <sz val="11.0"/>
      <color rgb="FF000000"/>
      <name val="나눔고딕"/>
    </font>
    <font>
      <sz val="11.0"/>
      <color rgb="FF363636"/>
      <name val="나눔고딕"/>
    </font>
    <font>
      <sz val="9.0"/>
      <color rgb="FF000000"/>
      <name val="나눔고딕"/>
    </font>
    <font>
      <sz val="13.0"/>
      <color rgb="FF000000"/>
      <name val="HCI Poppy"/>
    </font>
    <font>
      <sz val="20.0"/>
      <color rgb="FF000000"/>
      <name val="HY헤드라인M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F6F8FA"/>
        <bgColor rgb="FFF6F8FA"/>
      </patternFill>
    </fill>
    <fill>
      <patternFill patternType="solid">
        <fgColor rgb="FFFFE7D8"/>
        <bgColor rgb="FFFFE7D8"/>
      </patternFill>
    </fill>
  </fills>
  <borders count="4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/>
      <right style="hair">
        <color rgb="FF000000"/>
      </right>
      <top style="thin">
        <color rgb="FF000000"/>
      </top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hair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FE2E5"/>
      </left>
      <right style="thin">
        <color rgb="FFDFE2E5"/>
      </right>
      <top style="thin">
        <color rgb="FFC6CBD1"/>
      </top>
      <bottom style="thin">
        <color rgb="FFDFE2E5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top style="dotted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Alignment="1" applyBorder="1" applyFont="1">
      <alignment vertical="center"/>
    </xf>
    <xf borderId="3" fillId="0" fontId="2" numFmtId="0" xfId="0" applyAlignment="1" applyBorder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4" fillId="2" fontId="3" numFmtId="0" xfId="0" applyAlignment="1" applyBorder="1" applyFont="1">
      <alignment horizontal="center" shrinkToFit="0" vertical="center" wrapText="1"/>
    </xf>
    <xf borderId="4" fillId="2" fontId="3" numFmtId="49" xfId="0" applyAlignment="1" applyBorder="1" applyFont="1" applyNumberFormat="1">
      <alignment horizontal="left" shrinkToFit="0" vertical="center" wrapText="1"/>
    </xf>
    <xf borderId="4" fillId="2" fontId="3" numFmtId="164" xfId="0" applyAlignment="1" applyBorder="1" applyFont="1" applyNumberFormat="1">
      <alignment horizontal="center" shrinkToFit="0" vertical="center" wrapText="1"/>
    </xf>
    <xf borderId="5" fillId="3" fontId="4" numFmtId="0" xfId="0" applyAlignment="1" applyBorder="1" applyFill="1" applyFont="1">
      <alignment horizontal="center" shrinkToFit="0" vertical="center" wrapText="1"/>
    </xf>
    <xf borderId="5" fillId="3" fontId="4" numFmtId="49" xfId="0" applyAlignment="1" applyBorder="1" applyFont="1" applyNumberFormat="1">
      <alignment horizontal="center" shrinkToFit="0" vertical="center" wrapText="1"/>
    </xf>
    <xf borderId="5" fillId="3" fontId="4" numFmtId="164" xfId="0" applyAlignment="1" applyBorder="1" applyFont="1" applyNumberFormat="1">
      <alignment horizontal="center" shrinkToFit="0" vertical="center" wrapText="1"/>
    </xf>
    <xf borderId="6" fillId="2" fontId="3" numFmtId="49" xfId="0" applyAlignment="1" applyBorder="1" applyFont="1" applyNumberFormat="1">
      <alignment horizontal="center" shrinkToFit="0" vertical="center" wrapText="1"/>
    </xf>
    <xf borderId="6" fillId="2" fontId="3" numFmtId="164" xfId="0" applyAlignment="1" applyBorder="1" applyFont="1" applyNumberFormat="1">
      <alignment horizontal="center" shrinkToFit="0" vertical="center" wrapText="1"/>
    </xf>
    <xf borderId="6" fillId="2" fontId="3" numFmtId="0" xfId="0" applyAlignment="1" applyBorder="1" applyFont="1">
      <alignment horizontal="left" shrinkToFit="0" vertical="center" wrapText="1"/>
    </xf>
    <xf borderId="6" fillId="2" fontId="3" numFmtId="0" xfId="0" applyAlignment="1" applyBorder="1" applyFont="1">
      <alignment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6" fillId="2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vertical="center"/>
    </xf>
    <xf borderId="0" fillId="0" fontId="6" numFmtId="0" xfId="0" applyAlignment="1" applyFont="1">
      <alignment horizontal="center" vertical="top"/>
    </xf>
    <xf borderId="7" fillId="0" fontId="5" numFmtId="165" xfId="0" applyAlignment="1" applyBorder="1" applyFont="1" applyNumberFormat="1">
      <alignment horizontal="left" readingOrder="0" vertical="center"/>
    </xf>
    <xf borderId="8" fillId="0" fontId="2" numFmtId="0" xfId="0" applyAlignment="1" applyBorder="1" applyFont="1">
      <alignment vertical="center"/>
    </xf>
    <xf borderId="9" fillId="0" fontId="2" numFmtId="0" xfId="0" applyAlignment="1" applyBorder="1" applyFont="1">
      <alignment vertical="center"/>
    </xf>
    <xf borderId="8" fillId="0" fontId="5" numFmtId="165" xfId="0" applyAlignment="1" applyBorder="1" applyFont="1" applyNumberFormat="1">
      <alignment horizontal="left" vertical="center"/>
    </xf>
    <xf borderId="10" fillId="0" fontId="5" numFmtId="49" xfId="0" applyAlignment="1" applyBorder="1" applyFont="1" applyNumberFormat="1">
      <alignment vertical="center"/>
    </xf>
    <xf borderId="8" fillId="0" fontId="5" numFmtId="49" xfId="0" applyAlignment="1" applyBorder="1" applyFont="1" applyNumberFormat="1">
      <alignment vertical="center"/>
    </xf>
    <xf borderId="11" fillId="0" fontId="5" numFmtId="49" xfId="0" applyAlignment="1" applyBorder="1" applyFont="1" applyNumberFormat="1">
      <alignment vertical="center"/>
    </xf>
    <xf borderId="0" fillId="0" fontId="7" numFmtId="0" xfId="0" applyAlignment="1" applyFont="1">
      <alignment vertical="center"/>
    </xf>
    <xf borderId="12" fillId="0" fontId="5" numFmtId="165" xfId="0" applyAlignment="1" applyBorder="1" applyFont="1" applyNumberFormat="1">
      <alignment horizontal="left" readingOrder="0" vertical="center"/>
    </xf>
    <xf borderId="13" fillId="0" fontId="2" numFmtId="0" xfId="0" applyAlignment="1" applyBorder="1" applyFont="1">
      <alignment vertical="center"/>
    </xf>
    <xf borderId="14" fillId="0" fontId="2" numFmtId="0" xfId="0" applyAlignment="1" applyBorder="1" applyFont="1">
      <alignment vertical="center"/>
    </xf>
    <xf borderId="13" fillId="0" fontId="5" numFmtId="165" xfId="0" applyAlignment="1" applyBorder="1" applyFont="1" applyNumberFormat="1">
      <alignment horizontal="left" vertical="center"/>
    </xf>
    <xf borderId="15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vertical="center"/>
    </xf>
    <xf borderId="15" fillId="0" fontId="5" numFmtId="0" xfId="0" applyAlignment="1" applyBorder="1" applyFont="1">
      <alignment vertical="center"/>
    </xf>
    <xf borderId="16" fillId="0" fontId="5" numFmtId="0" xfId="0" applyAlignment="1" applyBorder="1" applyFont="1">
      <alignment vertical="center"/>
    </xf>
    <xf borderId="12" fillId="0" fontId="5" numFmtId="165" xfId="0" applyAlignment="1" applyBorder="1" applyFont="1" applyNumberFormat="1">
      <alignment horizontal="left" shrinkToFit="0" vertical="center" wrapText="1"/>
    </xf>
    <xf borderId="13" fillId="0" fontId="5" numFmtId="0" xfId="0" applyAlignment="1" applyBorder="1" applyFont="1">
      <alignment vertical="center"/>
    </xf>
    <xf borderId="12" fillId="0" fontId="5" numFmtId="165" xfId="0" applyAlignment="1" applyBorder="1" applyFont="1" applyNumberFormat="1">
      <alignment horizontal="left" vertical="center"/>
    </xf>
    <xf borderId="17" fillId="0" fontId="5" numFmtId="0" xfId="0" applyAlignment="1" applyBorder="1" applyFont="1">
      <alignment horizontal="left" vertical="center"/>
    </xf>
    <xf borderId="18" fillId="0" fontId="2" numFmtId="0" xfId="0" applyAlignment="1" applyBorder="1" applyFont="1">
      <alignment vertical="center"/>
    </xf>
    <xf borderId="19" fillId="0" fontId="2" numFmtId="0" xfId="0" applyAlignment="1" applyBorder="1" applyFont="1">
      <alignment vertical="center"/>
    </xf>
    <xf borderId="18" fillId="0" fontId="5" numFmtId="0" xfId="0" applyAlignment="1" applyBorder="1" applyFont="1">
      <alignment horizontal="left" vertical="center"/>
    </xf>
    <xf borderId="20" fillId="0" fontId="5" numFmtId="0" xfId="0" applyAlignment="1" applyBorder="1" applyFont="1">
      <alignment vertical="center"/>
    </xf>
    <xf borderId="19" fillId="0" fontId="5" numFmtId="0" xfId="0" applyAlignment="1" applyBorder="1" applyFont="1">
      <alignment vertical="center"/>
    </xf>
    <xf borderId="21" fillId="0" fontId="5" numFmtId="0" xfId="0" applyAlignment="1" applyBorder="1" applyFont="1">
      <alignment vertical="center"/>
    </xf>
    <xf borderId="0" fillId="0" fontId="8" numFmtId="165" xfId="0" applyAlignment="1" applyFont="1" applyNumberFormat="1">
      <alignment vertical="center"/>
    </xf>
    <xf borderId="0" fillId="0" fontId="9" numFmtId="165" xfId="0" applyAlignment="1" applyFont="1" applyNumberFormat="1">
      <alignment horizontal="left" vertical="center"/>
    </xf>
    <xf borderId="22" fillId="0" fontId="9" numFmtId="165" xfId="0" applyAlignment="1" applyBorder="1" applyFont="1" applyNumberFormat="1">
      <alignment horizontal="left" vertical="center"/>
    </xf>
    <xf borderId="0" fillId="0" fontId="10" numFmtId="0" xfId="0" applyAlignment="1" applyFont="1">
      <alignment vertical="center"/>
    </xf>
    <xf borderId="23" fillId="3" fontId="11" numFmtId="0" xfId="0" applyAlignment="1" applyBorder="1" applyFont="1">
      <alignment horizontal="center" vertical="center"/>
    </xf>
    <xf borderId="24" fillId="3" fontId="11" numFmtId="0" xfId="0" applyAlignment="1" applyBorder="1" applyFont="1">
      <alignment horizontal="center" vertical="center"/>
    </xf>
    <xf borderId="25" fillId="0" fontId="2" numFmtId="0" xfId="0" applyAlignment="1" applyBorder="1" applyFont="1">
      <alignment vertical="center"/>
    </xf>
    <xf borderId="26" fillId="0" fontId="2" numFmtId="0" xfId="0" applyAlignment="1" applyBorder="1" applyFont="1">
      <alignment vertical="center"/>
    </xf>
    <xf borderId="27" fillId="3" fontId="11" numFmtId="0" xfId="0" applyAlignment="1" applyBorder="1" applyFont="1">
      <alignment horizontal="center" vertical="center"/>
    </xf>
    <xf borderId="28" fillId="3" fontId="11" numFmtId="0" xfId="0" applyAlignment="1" applyBorder="1" applyFont="1">
      <alignment horizontal="center" vertical="center"/>
    </xf>
    <xf borderId="29" fillId="3" fontId="11" numFmtId="0" xfId="0" applyAlignment="1" applyBorder="1" applyFont="1">
      <alignment horizontal="center" vertical="center"/>
    </xf>
    <xf borderId="0" fillId="0" fontId="10" numFmtId="165" xfId="0" applyAlignment="1" applyFont="1" applyNumberFormat="1">
      <alignment vertical="center"/>
    </xf>
    <xf borderId="0" fillId="0" fontId="3" numFmtId="0" xfId="0" applyAlignment="1" applyFont="1">
      <alignment vertical="center"/>
    </xf>
    <xf borderId="5" fillId="0" fontId="5" numFmtId="0" xfId="0" applyAlignment="1" applyBorder="1" applyFont="1">
      <alignment horizontal="center" readingOrder="0" vertical="center"/>
    </xf>
    <xf borderId="30" fillId="0" fontId="11" numFmtId="0" xfId="0" applyAlignment="1" applyBorder="1" applyFont="1">
      <alignment horizontal="left" readingOrder="0" vertical="center"/>
    </xf>
    <xf borderId="31" fillId="0" fontId="2" numFmtId="0" xfId="0" applyAlignment="1" applyBorder="1" applyFont="1">
      <alignment vertical="center"/>
    </xf>
    <xf borderId="32" fillId="0" fontId="2" numFmtId="0" xfId="0" applyAlignment="1" applyBorder="1" applyFont="1">
      <alignment vertical="center"/>
    </xf>
    <xf borderId="0" fillId="0" fontId="3" numFmtId="165" xfId="0" applyAlignment="1" applyFont="1" applyNumberFormat="1">
      <alignment vertical="center"/>
    </xf>
    <xf borderId="5" fillId="0" fontId="5" numFmtId="0" xfId="0" applyAlignment="1" applyBorder="1" applyFont="1">
      <alignment horizontal="center" readingOrder="0" shrinkToFit="0" vertical="center" wrapText="1"/>
    </xf>
    <xf quotePrefix="1" borderId="30" fillId="0" fontId="5" numFmtId="0" xfId="0" applyAlignment="1" applyBorder="1" applyFont="1">
      <alignment horizontal="left" readingOrder="0" shrinkToFit="0" vertical="center" wrapText="1"/>
    </xf>
    <xf borderId="5" fillId="0" fontId="5" numFmtId="3" xfId="0" applyAlignment="1" applyBorder="1" applyFont="1" applyNumberFormat="1">
      <alignment horizontal="right" vertical="center"/>
    </xf>
    <xf borderId="30" fillId="0" fontId="5" numFmtId="165" xfId="0" applyAlignment="1" applyBorder="1" applyFont="1" applyNumberFormat="1">
      <alignment horizontal="center" vertical="center"/>
    </xf>
    <xf borderId="0" fillId="0" fontId="12" numFmtId="0" xfId="0" applyAlignment="1" applyFont="1">
      <alignment vertical="center"/>
    </xf>
    <xf borderId="5" fillId="0" fontId="5" numFmtId="0" xfId="0" applyAlignment="1" applyBorder="1" applyFont="1">
      <alignment horizontal="center" vertical="center"/>
    </xf>
    <xf quotePrefix="1" borderId="30" fillId="0" fontId="5" numFmtId="0" xfId="0" applyAlignment="1" applyBorder="1" applyFont="1">
      <alignment readingOrder="0" shrinkToFit="0" vertical="center" wrapText="1"/>
    </xf>
    <xf borderId="5" fillId="0" fontId="5" numFmtId="3" xfId="0" applyAlignment="1" applyBorder="1" applyFont="1" applyNumberFormat="1">
      <alignment horizontal="right" readingOrder="0" vertical="center"/>
    </xf>
    <xf borderId="5" fillId="0" fontId="12" numFmtId="0" xfId="0" applyAlignment="1" applyBorder="1" applyFont="1">
      <alignment horizontal="center" readingOrder="0" vertical="center"/>
    </xf>
    <xf borderId="0" fillId="0" fontId="12" numFmtId="165" xfId="0" applyAlignment="1" applyFont="1" applyNumberFormat="1">
      <alignment vertical="center"/>
    </xf>
    <xf borderId="0" fillId="0" fontId="12" numFmtId="0" xfId="0" applyAlignment="1" applyFont="1">
      <alignment vertical="center"/>
    </xf>
    <xf borderId="5" fillId="0" fontId="5" numFmtId="0" xfId="0" applyAlignment="1" applyBorder="1" applyFont="1">
      <alignment horizontal="center" vertical="center"/>
    </xf>
    <xf borderId="30" fillId="0" fontId="5" numFmtId="0" xfId="0" applyAlignment="1" applyBorder="1" applyFont="1">
      <alignment shrinkToFit="0" vertical="center" wrapText="1"/>
    </xf>
    <xf borderId="30" fillId="0" fontId="5" numFmtId="165" xfId="0" applyAlignment="1" applyBorder="1" applyFont="1" applyNumberFormat="1">
      <alignment horizontal="center" vertical="center"/>
    </xf>
    <xf borderId="5" fillId="0" fontId="12" numFmtId="0" xfId="0" applyAlignment="1" applyBorder="1" applyFont="1">
      <alignment horizontal="center" readingOrder="0" vertical="center"/>
    </xf>
    <xf borderId="0" fillId="0" fontId="12" numFmtId="165" xfId="0" applyAlignment="1" applyFont="1" applyNumberFormat="1">
      <alignment vertical="center"/>
    </xf>
    <xf borderId="5" fillId="0" fontId="5" numFmtId="0" xfId="0" applyAlignment="1" applyBorder="1" applyFont="1">
      <alignment horizontal="center" readingOrder="0" vertical="center"/>
    </xf>
    <xf borderId="30" fillId="0" fontId="5" numFmtId="0" xfId="0" applyAlignment="1" applyBorder="1" applyFont="1">
      <alignment readingOrder="0" shrinkToFit="0" vertical="center" wrapText="1"/>
    </xf>
    <xf borderId="30" fillId="0" fontId="5" numFmtId="0" xfId="0" applyAlignment="1" applyBorder="1" applyFont="1">
      <alignment horizontal="left" readingOrder="0" shrinkToFit="0" vertical="center" wrapText="1"/>
    </xf>
    <xf borderId="5" fillId="0" fontId="12" numFmtId="0" xfId="0" applyAlignment="1" applyBorder="1" applyFont="1">
      <alignment horizontal="center" vertical="center"/>
    </xf>
    <xf borderId="5" fillId="0" fontId="11" numFmtId="0" xfId="0" applyAlignment="1" applyBorder="1" applyFont="1">
      <alignment horizontal="center" vertical="center"/>
    </xf>
    <xf borderId="30" fillId="0" fontId="11" numFmtId="165" xfId="0" applyAlignment="1" applyBorder="1" applyFont="1" applyNumberFormat="1">
      <alignment horizontal="center" vertical="center"/>
    </xf>
    <xf borderId="5" fillId="0" fontId="13" numFmtId="165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horizontal="right" vertical="center"/>
    </xf>
    <xf borderId="33" fillId="2" fontId="14" numFmtId="0" xfId="0" applyAlignment="1" applyBorder="1" applyFont="1">
      <alignment horizontal="center" readingOrder="0" vertical="center"/>
    </xf>
    <xf borderId="33" fillId="2" fontId="14" numFmtId="0" xfId="0" applyAlignment="1" applyBorder="1" applyFont="1">
      <alignment horizontal="left" readingOrder="0" vertical="center"/>
    </xf>
    <xf borderId="33" fillId="2" fontId="14" numFmtId="3" xfId="0" applyAlignment="1" applyBorder="1" applyFont="1" applyNumberFormat="1">
      <alignment horizontal="right" readingOrder="0" vertical="center"/>
    </xf>
    <xf borderId="33" fillId="2" fontId="14" numFmtId="0" xfId="0" applyAlignment="1" applyBorder="1" applyFont="1">
      <alignment horizontal="right" readingOrder="0" vertical="center"/>
    </xf>
    <xf borderId="33" fillId="2" fontId="14" numFmtId="0" xfId="0" applyAlignment="1" applyBorder="1" applyFont="1">
      <alignment readingOrder="0" vertical="center"/>
    </xf>
    <xf borderId="33" fillId="2" fontId="15" numFmtId="0" xfId="0" applyAlignment="1" applyBorder="1" applyFont="1">
      <alignment readingOrder="0" vertical="center"/>
    </xf>
    <xf borderId="33" fillId="4" fontId="14" numFmtId="0" xfId="0" applyAlignment="1" applyBorder="1" applyFill="1" applyFont="1">
      <alignment horizontal="center" readingOrder="0" vertical="center"/>
    </xf>
    <xf borderId="33" fillId="4" fontId="14" numFmtId="0" xfId="0" applyAlignment="1" applyBorder="1" applyFont="1">
      <alignment readingOrder="0" vertical="center"/>
    </xf>
    <xf borderId="33" fillId="4" fontId="14" numFmtId="3" xfId="0" applyAlignment="1" applyBorder="1" applyFont="1" applyNumberFormat="1">
      <alignment horizontal="right" readingOrder="0" vertical="center"/>
    </xf>
    <xf borderId="33" fillId="4" fontId="14" numFmtId="0" xfId="0" applyAlignment="1" applyBorder="1" applyFont="1">
      <alignment horizontal="right" readingOrder="0" vertical="center"/>
    </xf>
    <xf borderId="33" fillId="4" fontId="15" numFmtId="0" xfId="0" applyAlignment="1" applyBorder="1" applyFont="1">
      <alignment readingOrder="0" vertical="center"/>
    </xf>
    <xf borderId="33" fillId="4" fontId="14" numFmtId="0" xfId="0" applyAlignment="1" applyBorder="1" applyFont="1">
      <alignment vertical="center"/>
    </xf>
    <xf borderId="33" fillId="2" fontId="14" numFmtId="0" xfId="0" applyAlignment="1" applyBorder="1" applyFont="1">
      <alignment vertical="center"/>
    </xf>
    <xf borderId="33" fillId="4" fontId="14" numFmtId="0" xfId="0" applyAlignment="1" applyBorder="1" applyFont="1">
      <alignment vertical="center"/>
    </xf>
    <xf borderId="33" fillId="4" fontId="14" numFmtId="0" xfId="0" applyAlignment="1" applyBorder="1" applyFont="1">
      <alignment horizontal="right" vertical="center"/>
    </xf>
    <xf borderId="33" fillId="2" fontId="14" numFmtId="0" xfId="0" applyAlignment="1" applyBorder="1" applyFont="1">
      <alignment horizontal="right" vertical="center"/>
    </xf>
    <xf borderId="33" fillId="4" fontId="15" numFmtId="3" xfId="0" applyAlignment="1" applyBorder="1" applyFont="1" applyNumberFormat="1">
      <alignment horizontal="right" readingOrder="0" vertical="center"/>
    </xf>
    <xf borderId="0" fillId="0" fontId="16" numFmtId="0" xfId="0" applyAlignment="1" applyFont="1">
      <alignment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vertical="center"/>
    </xf>
    <xf borderId="0" fillId="0" fontId="5" numFmtId="0" xfId="0" applyAlignment="1" applyFont="1">
      <alignment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10" numFmtId="0" xfId="0" applyAlignment="1" applyFont="1">
      <alignment shrinkToFit="0" vertical="center" wrapText="1"/>
    </xf>
    <xf borderId="0" fillId="0" fontId="10" numFmtId="0" xfId="0" applyAlignment="1" applyFont="1">
      <alignment horizontal="center" shrinkToFit="0" vertical="center" wrapText="1"/>
    </xf>
    <xf borderId="34" fillId="5" fontId="19" numFmtId="0" xfId="0" applyAlignment="1" applyBorder="1" applyFill="1" applyFont="1">
      <alignment horizontal="center" shrinkToFit="0" vertical="center" wrapText="1"/>
    </xf>
    <xf borderId="5" fillId="5" fontId="19" numFmtId="0" xfId="0" applyAlignment="1" applyBorder="1" applyFont="1">
      <alignment horizontal="center" shrinkToFit="0" vertical="center" wrapText="1"/>
    </xf>
    <xf borderId="35" fillId="5" fontId="19" numFmtId="0" xfId="0" applyAlignment="1" applyBorder="1" applyFont="1">
      <alignment horizontal="center" shrinkToFit="0" vertical="center" wrapText="1"/>
    </xf>
    <xf borderId="36" fillId="0" fontId="20" numFmtId="0" xfId="0" applyAlignment="1" applyBorder="1" applyFont="1">
      <alignment horizontal="left" shrinkToFit="0" vertical="center" wrapText="1"/>
    </xf>
    <xf borderId="37" fillId="0" fontId="21" numFmtId="3" xfId="0" applyAlignment="1" applyBorder="1" applyFont="1" applyNumberFormat="1">
      <alignment horizontal="right" shrinkToFit="0" vertical="center" wrapText="1"/>
    </xf>
    <xf borderId="37" fillId="0" fontId="20" numFmtId="3" xfId="0" applyAlignment="1" applyBorder="1" applyFont="1" applyNumberFormat="1">
      <alignment horizontal="center" shrinkToFit="0" vertical="center" wrapText="1"/>
    </xf>
    <xf borderId="38" fillId="0" fontId="22" numFmtId="0" xfId="0" applyAlignment="1" applyBorder="1" applyFont="1">
      <alignment horizontal="left" shrinkToFit="0" vertical="center" wrapText="1"/>
    </xf>
    <xf borderId="39" fillId="0" fontId="20" numFmtId="0" xfId="0" applyAlignment="1" applyBorder="1" applyFont="1">
      <alignment horizontal="left" shrinkToFit="0" vertical="center" wrapText="1"/>
    </xf>
    <xf borderId="40" fillId="0" fontId="21" numFmtId="3" xfId="0" applyAlignment="1" applyBorder="1" applyFont="1" applyNumberFormat="1">
      <alignment horizontal="right" shrinkToFit="0" vertical="center" wrapText="1"/>
    </xf>
    <xf borderId="40" fillId="0" fontId="20" numFmtId="3" xfId="0" applyAlignment="1" applyBorder="1" applyFont="1" applyNumberFormat="1">
      <alignment horizontal="center" shrinkToFit="0" vertical="center" wrapText="1"/>
    </xf>
    <xf borderId="41" fillId="0" fontId="22" numFmtId="0" xfId="0" applyAlignment="1" applyBorder="1" applyFont="1">
      <alignment horizontal="left" shrinkToFit="0" vertical="center" wrapText="1"/>
    </xf>
    <xf borderId="42" fillId="0" fontId="20" numFmtId="0" xfId="0" applyAlignment="1" applyBorder="1" applyFont="1">
      <alignment horizontal="left" shrinkToFit="0" vertical="center" wrapText="1"/>
    </xf>
    <xf borderId="43" fillId="0" fontId="21" numFmtId="3" xfId="0" applyAlignment="1" applyBorder="1" applyFont="1" applyNumberFormat="1">
      <alignment horizontal="right" shrinkToFit="0" vertical="center" wrapText="1"/>
    </xf>
    <xf borderId="43" fillId="0" fontId="20" numFmtId="3" xfId="0" applyAlignment="1" applyBorder="1" applyFont="1" applyNumberFormat="1">
      <alignment horizontal="center" shrinkToFit="0" vertical="center" wrapText="1"/>
    </xf>
    <xf borderId="44" fillId="0" fontId="22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vertical="center"/>
    </xf>
    <xf borderId="0" fillId="0" fontId="23" numFmtId="166" xfId="0" applyAlignment="1" applyFont="1" applyNumberFormat="1">
      <alignment horizontal="center" vertical="center"/>
    </xf>
    <xf borderId="0" fillId="0" fontId="2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externalLink" Target="externalLinks/externalLink33.xml"/><Relationship Id="rId42" Type="http://schemas.openxmlformats.org/officeDocument/2006/relationships/externalLink" Target="externalLinks/externalLink35.xml"/><Relationship Id="rId41" Type="http://schemas.openxmlformats.org/officeDocument/2006/relationships/externalLink" Target="externalLinks/externalLink34.xml"/><Relationship Id="rId44" Type="http://schemas.openxmlformats.org/officeDocument/2006/relationships/externalLink" Target="externalLinks/externalLink37.xml"/><Relationship Id="rId43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3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externalLink" Target="externalLinks/externalLink2.xml"/><Relationship Id="rId48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0.xml"/><Relationship Id="rId49" Type="http://schemas.openxmlformats.org/officeDocument/2006/relationships/externalLink" Target="externalLinks/externalLink4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26.xml"/><Relationship Id="rId32" Type="http://schemas.openxmlformats.org/officeDocument/2006/relationships/externalLink" Target="externalLinks/externalLink25.xml"/><Relationship Id="rId35" Type="http://schemas.openxmlformats.org/officeDocument/2006/relationships/externalLink" Target="externalLinks/externalLink28.xml"/><Relationship Id="rId34" Type="http://schemas.openxmlformats.org/officeDocument/2006/relationships/externalLink" Target="externalLinks/externalLink27.xml"/><Relationship Id="rId37" Type="http://schemas.openxmlformats.org/officeDocument/2006/relationships/externalLink" Target="externalLinks/externalLink30.xml"/><Relationship Id="rId36" Type="http://schemas.openxmlformats.org/officeDocument/2006/relationships/externalLink" Target="externalLinks/externalLink29.xml"/><Relationship Id="rId39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1.xml"/><Relationship Id="rId62" Type="http://schemas.openxmlformats.org/officeDocument/2006/relationships/externalLink" Target="externalLinks/externalLink55.xml"/><Relationship Id="rId61" Type="http://schemas.openxmlformats.org/officeDocument/2006/relationships/externalLink" Target="externalLinks/externalLink54.xml"/><Relationship Id="rId20" Type="http://schemas.openxmlformats.org/officeDocument/2006/relationships/externalLink" Target="externalLinks/externalLink13.xml"/><Relationship Id="rId64" Type="http://schemas.openxmlformats.org/officeDocument/2006/relationships/externalLink" Target="externalLinks/externalLink57.xml"/><Relationship Id="rId63" Type="http://schemas.openxmlformats.org/officeDocument/2006/relationships/externalLink" Target="externalLinks/externalLink56.xml"/><Relationship Id="rId22" Type="http://schemas.openxmlformats.org/officeDocument/2006/relationships/externalLink" Target="externalLinks/externalLink15.xml"/><Relationship Id="rId66" Type="http://schemas.openxmlformats.org/officeDocument/2006/relationships/externalLink" Target="externalLinks/externalLink59.xml"/><Relationship Id="rId21" Type="http://schemas.openxmlformats.org/officeDocument/2006/relationships/externalLink" Target="externalLinks/externalLink14.xml"/><Relationship Id="rId65" Type="http://schemas.openxmlformats.org/officeDocument/2006/relationships/externalLink" Target="externalLinks/externalLink58.xml"/><Relationship Id="rId24" Type="http://schemas.openxmlformats.org/officeDocument/2006/relationships/externalLink" Target="externalLinks/externalLink17.xml"/><Relationship Id="rId23" Type="http://schemas.openxmlformats.org/officeDocument/2006/relationships/externalLink" Target="externalLinks/externalLink16.xml"/><Relationship Id="rId67" Type="http://customschemas.google.com/relationships/workbookmetadata" Target="metadata"/><Relationship Id="rId60" Type="http://schemas.openxmlformats.org/officeDocument/2006/relationships/externalLink" Target="externalLinks/externalLink53.xml"/><Relationship Id="rId26" Type="http://schemas.openxmlformats.org/officeDocument/2006/relationships/externalLink" Target="externalLinks/externalLink19.xml"/><Relationship Id="rId25" Type="http://schemas.openxmlformats.org/officeDocument/2006/relationships/externalLink" Target="externalLinks/externalLink18.xml"/><Relationship Id="rId28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0.xml"/><Relationship Id="rId29" Type="http://schemas.openxmlformats.org/officeDocument/2006/relationships/externalLink" Target="externalLinks/externalLink22.xml"/><Relationship Id="rId51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46.xml"/><Relationship Id="rId52" Type="http://schemas.openxmlformats.org/officeDocument/2006/relationships/externalLink" Target="externalLinks/externalLink45.xml"/><Relationship Id="rId11" Type="http://schemas.openxmlformats.org/officeDocument/2006/relationships/externalLink" Target="externalLinks/externalLink4.xml"/><Relationship Id="rId55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3.xml"/><Relationship Id="rId54" Type="http://schemas.openxmlformats.org/officeDocument/2006/relationships/externalLink" Target="externalLinks/externalLink47.xml"/><Relationship Id="rId13" Type="http://schemas.openxmlformats.org/officeDocument/2006/relationships/externalLink" Target="externalLinks/externalLink6.xml"/><Relationship Id="rId57" Type="http://schemas.openxmlformats.org/officeDocument/2006/relationships/externalLink" Target="externalLinks/externalLink50.xml"/><Relationship Id="rId12" Type="http://schemas.openxmlformats.org/officeDocument/2006/relationships/externalLink" Target="externalLinks/externalLink5.xml"/><Relationship Id="rId56" Type="http://schemas.openxmlformats.org/officeDocument/2006/relationships/externalLink" Target="externalLinks/externalLink49.xml"/><Relationship Id="rId15" Type="http://schemas.openxmlformats.org/officeDocument/2006/relationships/externalLink" Target="externalLinks/externalLink8.xml"/><Relationship Id="rId59" Type="http://schemas.openxmlformats.org/officeDocument/2006/relationships/externalLink" Target="externalLinks/externalLink52.xml"/><Relationship Id="rId14" Type="http://schemas.openxmlformats.org/officeDocument/2006/relationships/externalLink" Target="externalLinks/externalLink7.xml"/><Relationship Id="rId58" Type="http://schemas.openxmlformats.org/officeDocument/2006/relationships/externalLink" Target="externalLinks/externalLink51.xml"/><Relationship Id="rId17" Type="http://schemas.openxmlformats.org/officeDocument/2006/relationships/externalLink" Target="externalLinks/externalLink10.xml"/><Relationship Id="rId16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57150</xdr:colOff>
      <xdr:row>3</xdr:row>
      <xdr:rowOff>447675</xdr:rowOff>
    </xdr:from>
    <xdr:ext cx="752475" cy="4095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542925</xdr:colOff>
      <xdr:row>0</xdr:row>
      <xdr:rowOff>9525</xdr:rowOff>
    </xdr:from>
    <xdr:ext cx="1476375" cy="1476375"/>
    <xdr:pic>
      <xdr:nvPicPr>
        <xdr:cNvPr id="0" name="image2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</xdr:colOff>
      <xdr:row>0</xdr:row>
      <xdr:rowOff>0</xdr:rowOff>
    </xdr:from>
    <xdr:ext cx="561975" cy="581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www45.daum.net/Mail-bin/PARK1/&#51312;&#45804;&#50896;&#44032;/&#50504;&#50577;&#49884;&#52397;/work-form.xls" TargetMode="External"/></Relationships>
</file>

<file path=xl/externalLinks/_rels/externalLink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LG%20CNS\&#48148;&#53461;%20&#54868;&#47732;\&#54252;&#53448;%20&#48143;%20&#44060;&#48156;%20&#44540;&#44144;\BMAIL\INBOX\HSOH\TEMP\IPG0696F.XLS" TargetMode="External"/></Relationships>
</file>

<file path=xl/externalLinks/_rels/externalLink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d\&#44277;&#49324;\&#44277;&#49324;\&#49457;&#49436;&#44036;&#51060;.xls" TargetMode="External"/></Relationships>
</file>

<file path=xl/externalLinks/_rels/externalLink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A:\&#44221;&#51137;&#51077;&#52272;\2001&#49444;&#44228;&#50696;&#49328;\&#54644;&#46020;&#46041;%20&#45909;&#50976;&#48716;&#46377;%20&#46020;&#44553;.xls" TargetMode="External"/></Relationships>
</file>

<file path=xl/externalLinks/_rels/externalLink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oney\&#44288;&#49464;&#52397;\Documents%20and%20Settings\Owner\My%20Documents\Report\2005\&#45824;&#54620;&#51452;&#53469;&#44277;&#49324;\ISP\&#49328;&#52636;&#45236;&#50669;\03%20&#49328;&#52636;&#45236;&#50669;_ISP_050801.xls" TargetMode="External"/></Relationships>
</file>

<file path=xl/externalLinks/_rels/externalLink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Honey\&#51221;&#48372;&#53685;&#49888;&#48512;&#51204;&#49328;&#44288;&#47532;&#49548;\Documents%20and%20Settings\Owner\My%20Documents\Report\2004\&#48277;&#50896;&#54665;&#51221;&#52376;\&#49324;&#48277;&#47932;&#54408;1&#52264;\2&#52264;&#49324;&#50629;&#49328;&#52636;&#45236;&#50669;&#49436;(&#50896;&#44032;&#51312;&#54924;).xls" TargetMode="External"/></Relationships>
</file>

<file path=xl/externalLinks/_rels/externalLink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DOS\&#54620;&#44397;&#51473;~1.XLS" TargetMode="External"/></Relationships>
</file>

<file path=xl/externalLinks/_rels/externalLink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&#47448;&#49457;&#52384;\&#44277;&#49324;\&#44053;&#46041;&#44053;&#49436;&#53685;&#49888;&#49892;&#51221;&#48708;\2001&#45380;&#46020;\&#44277;%20%20&#49324;\&#51648;&#51216;%20NDIS&#49892;%20&#53685;&#49888;&#44396;&#52629;\&#48513;&#48512;&#51648;&#51216;\WINDOWS\TEMP\&#46041;&#50577;SH~1.XLS" TargetMode="External"/></Relationships>
</file>

<file path=xl/externalLinks/_rels/externalLink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2ATM\2001\2001ATM&#49888;&#49444;&#44277;&#49324;\&#44277;&#49324;&#49444;&#44228;\&#44608;&#50689;&#48124;\&#50508;&#52852;&#53588;&#44032;&#44201;&#54364;.XLS" TargetMode="External"/></Relationships>
</file>

<file path=xl/externalLinks/_rels/externalLink1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WINDOWS\&#48148;&#53461;%20&#54868;&#47732;\2&#48516;&#44592;\&#51221;&#49328;\&#45800;&#49692;&#44277;&#49324;.xls" TargetMode="External"/></Relationships>
</file>

<file path=xl/externalLinks/_rels/externalLink1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PCS&#44288;&#47144;\&#44404;&#52265;&#49444;&#44228;.xls" TargetMode="External"/></Relationships>
</file>

<file path=xl/externalLinks/_rels/externalLink1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&#47448;&#49457;&#52384;\&#44277;&#49324;\&#44053;&#46041;&#44053;&#49436;&#53685;&#49888;&#49892;&#51221;&#48708;\2001&#45380;&#46020;\&#44277;%20%20&#49324;\&#51648;&#51216;%20NDIS&#49892;%20&#53685;&#49888;&#44396;&#52629;\&#48513;&#48512;&#51648;&#51216;\Windows\&#48148;&#53461;%20&#54868;&#47732;\98&#49328;&#52636;&#51088;&#47308;\&#46160;&#47336;&#45367;\&#46041;&#50577;sh3&#52264;.xls" TargetMode="External"/></Relationships>
</file>

<file path=xl/externalLinks/_rels/externalLink1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924;&#49324;&#51088;&#47308;\My%20Documents\&#49436;&#50872;&#49884;&#52397;%20&#53685;&#49888;&#44277;&#49324;\&#53412;&#54256;-&#44368;&#54872;&#44592;%20&#50672;&#46041;\&#49436;&#50872;&#49884;&#52397;\&#49444;&#44228;&#49436;_&#53412;&#54256;%20&#51452;&#51109;&#52824;&#49444;&#52824;%20&#44204;&#51201;&#49436;%20&#51228;&#52636;-20090224.xls" TargetMode="External"/></Relationships>
</file>

<file path=xl/externalLinks/_rels/externalLink1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LG%20CNS\&#48148;&#53461;%20&#54868;&#47732;\&#54252;&#53448;%20&#48143;%20&#44060;&#48156;%20&#44540;&#44144;\My%20Doc%20%231\COMPAQ\&#48156;&#51452;&#49436;_C.xls" TargetMode="External"/></Relationships>
</file>

<file path=xl/externalLinks/_rels/externalLink1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060;&#44221;&#54732;\C\My%20Documents\&#46041;&#50577;&#49884;&#49828;&#53596;%20LH3.xls" TargetMode="External"/></Relationships>
</file>

<file path=xl/externalLinks/_rels/externalLink1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mc1\Estimation\Down\&#44204;&#51201;&#49892;&#47924;&#44053;&#51032;&#51088;&#47308;_V1.0\&#50689;&#45224;_1.xls" TargetMode="External"/></Relationships>
</file>

<file path=xl/externalLinks/_rels/externalLink1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8149;&#44540;&#49688;\02-118\My%20Documents\01-149\&#52397;&#47548;&#49324;&#50857;&#49884;&#49444;%20&#49444;&#44228;&#49436;.xls" TargetMode="External"/></Relationships>
</file>

<file path=xl/externalLinks/_rels/externalLink1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LG%20CNS\&#48148;&#53461;%20&#54868;&#47732;\&#54252;&#53448;%20&#48143;%20&#44060;&#48156;%20&#44540;&#44144;\My%20Documents\&#54620;&#44397;&#44305;&#44256;&#45800;&#52404;&#50672;&#54633;&#54924;\SF3800-4800(&#48149;&#50857;&#52268;-1108)(1).xls" TargetMode="External"/></Relationships>
</file>

<file path=xl/externalLinks/_rels/externalLink1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864;&#46020;&#55148;\&#51333;&#51652;&#50532;&#46020;&#55148;\My%20Documents\&#46041;&#50500;&#49373;&#47749;\&#44277;&#49324;&#49444;&#44228;&#49436;(&#46041;&#50500;&#49373;&#47749;).xls" TargetMode="External"/></Relationships>
</file>

<file path=xl/externalLinks/_rels/externalLink2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WINDOWS\TEMP\98&#44277;&#49324;\7&#50900;&#44277;&#49324;(&#49888;&#49464;&#44592;%20&#54252;&#54632;)\017(&#49888;&#49464;&#44592;)\&#44592;&#53440;\SKT2-2&#52264;%20&#49444;&#44228;&#49368;&#54540;(8.15).xls" TargetMode="External"/></Relationships>
</file>

<file path=xl/externalLinks/_rels/externalLink2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Gslee\c\&#44277;&#49324;\&#51648;&#51109;&#51204;&#51452;\&#51032;&#51221;&#48512;\SKT\&#49444;&#44228;(&#44221;&#44592;&#48513;&#48512;%20&#51648;&#51109;&#51060;&#51204;1).xls" TargetMode="External"/></Relationships>
</file>

<file path=xl/externalLinks/_rels/externalLink2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Pmc1\Estimation\&#54252;&#47100;_&#49464;&#48120;&#45208;\&#44277;&#44277;2&#49324;&#50629;&#48512;LC&#48120;&#54021;\&#51228;&#50504;&#49436;%20&#51089;&#49457;\fpa_dev(dev).xls" TargetMode="External"/></Relationships>
</file>

<file path=xl/externalLinks/_rels/externalLink2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00%20&#49688;&#54665;&#54532;&#47196;&#51229;&#53944;\200504%20&#54637;&#47564;&#50868;&#50689;&#51221;&#48372;&#47581;&#44060;&#49440;&#49324;&#50629;\01%20&#49324;&#50629;&#44592;&#48376;&#51221;&#48372;\01%20&#51077;&#52272;&#44288;&#47144;\03%20&#51228;&#52636;&#49436;&#47448;\&#44032;&#44201;&#49328;&#52636;&#44540;&#44144;&#54364;_20051121.xls" TargetMode="External"/></Relationships>
</file>

<file path=xl/externalLinks/_rels/externalLink2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99&#45380;&#50948;&#53441;&#45824;&#44032;\3&#48516;&#44592;\&#51221;&#49328;\2&#48516;&#44592;\&#51221;&#49328;\&#45800;&#49692;&#44277;&#49324;.xls" TargetMode="External"/></Relationships>
</file>

<file path=xl/externalLinks/_rels/externalLink2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221;&#44228;&#50689;\&#54952;&#52285;&#49888;&#54840;\&#49444;&#44228;&#49436;\&#54952;&#52285;.xls" TargetMode="External"/></Relationships>
</file>

<file path=xl/externalLinks/_rels/externalLink2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8149;&#49440;&#48393;\&#46041;&#47732;~&#51109;&#50504;&#44036;\KKY\JUNJU\ILWIPOH.XLS" TargetMode="External"/></Relationships>
</file>

<file path=xl/externalLinks/_rels/externalLink2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S:\WINDOWS\TEMP\ARC95PRC.XLS" TargetMode="External"/></Relationships>
</file>

<file path=xl/externalLinks/_rels/externalLink2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01.&#50656;&#54532;&#47200;&#54000;&#50612;&#51452;&#50836;&#50629;&#47924;\Documents%20and%20Settings\91100494\My%20Documents\&#44032;&#44201;&#54364;\NT\2004&#45380;\&#44204;&#51201;&#54268;_SV(200402).xls" TargetMode="External"/></Relationships>
</file>

<file path=xl/externalLinks/_rels/externalLink2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CLASSYS\proposals\7270%20+%20NMS%20Sample.xls" TargetMode="External"/></Relationships>
</file>

<file path=xl/externalLinks/_rels/externalLink3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LG%20CNS\&#48148;&#53461;%20&#54868;&#47732;\&#54252;&#53448;%20&#48143;%20&#44060;&#48156;%20&#44540;&#44144;\2000&#45380;data\My%20Documents\My%20Documents\&#51088;&#46041;&#44204;&#51201;.xls" TargetMode="External"/></Relationships>
</file>

<file path=xl/externalLinks/_rels/externalLink3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060;&#49345;&#51456;\MY%20DOCUMENTS\My%20Documents\&#52649;&#45224;&#51060;&#46041;&#53685;&#49888;_&#45348;&#53944;&#50893;\&#44277;&#51221;&#48372;&#44256;.xls" TargetMode="External"/></Relationships>
</file>

<file path=xl/externalLinks/_rels/externalLink3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&#52572;&#44592;&#51452;\Local%20Settings\Temporary%20Internet%20Files\Content.Outlook\UYWU5MAY\&#51221;&#48372;&#54868;&#51204;&#47029;&#44228;&#54925;&#49688;&#47549;&#50696;&#49328;&#49328;&#52636;.xls" TargetMode="External"/></Relationships>
</file>

<file path=xl/externalLinks/_rels/externalLink3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060;&#54665;&#45224;\&#50857;&#49328;~&#52397;&#47049;&#47532;\My%20Documents\&#51088;&#46041;&#54224;&#49353;&#49444;&#44228;.xls" TargetMode="External"/></Relationships>
</file>

<file path=xl/externalLinks/_rels/externalLink3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Gslee\c\&#49444;&#44228;\SK\&#49444;&#44228;&#47749;&#49464;&#49436;(2-1&#52264;).xls" TargetMode="External"/></Relationships>
</file>

<file path=xl/externalLinks/_rels/externalLink3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WINDOWS\TEMP\&#44277;&#49324;&#49444;&#44228;&#49436;_&#49888;&#49464;&#44592;15&#52264;_NEW.xls" TargetMode="External"/></Relationships>
</file>

<file path=xl/externalLinks/_rels/externalLink3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0\ktn_&#44277;&#50976;\&#44428;&#49345;&#51456;\hist\2005\&#44592;&#44288;&#48324;\&#54028;&#51452;&#49884;\SDW_&#44592;&#45733;&#47785;&#47197;.xls" TargetMode="External"/></Relationships>
</file>

<file path=xl/externalLinks/_rels/externalLink3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4592;&#51648;&#50669;\&#45224;&#50577;&#51452;&#49884;&#52397;\&#45224;&#50577;&#51452;2002\2002&#45380;&#50696;&#49328;&#51088;&#47308;\&#52488;&#50504;&#51089;&#49457;\&#45224;&#50577;&#51452;&#49884;&#52397;&#52628;&#44032;&#50629;&#47924;\&#51204;&#49328;&#49892;\&#49457;&#44284;&#49900;&#49324;&#48708;(&#51204;&#49328;).XLS" TargetMode="External"/></Relationships>
</file>

<file path=xl/externalLinks/_rels/externalLink3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Gslee\c\&#44277;&#49324;\&#45236;&#44277;&#49324;\&#44221;&#46041;&#51228;&#50557;\&#49892;&#49324;&#44208;&#44284;(&#50640;&#51060;&#49828;&#53580;&#53356;&#45440;&#47196;&#51648;).xls" TargetMode="External"/></Relationships>
</file>

<file path=xl/externalLinks/_rels/externalLink3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5224;&#51648;&#50669;\&#51652;&#54644;&#49884;&#52397;\2002&#45380;&#48376;&#49324;&#50629;\1&#52264;&#45380;&#46020;_&#49444;&#44228;&#51221;&#49328;&#44288;&#47144;\&#52628;&#44032;\DB&#48376;&#49324;&#50629;\&#49444;&#44228;111.xls" TargetMode="External"/></Relationships>
</file>

<file path=xl/externalLinks/_rels/externalLink4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4608;&#47749;&#44592;\&#44277;&#50976;&#51088;&#47308;\Documents%20and%20Settings\&#51648;&#54616;&#52384;\&#48148;&#53461;%20&#54868;&#47732;\&#51652;\01.%20&#51648;&#54616;&#52384;\03.%20&#49436;&#50872;&#51648;&#54616;&#52384;7&#54840;&#49440;\702&#44277;&#44396;(&#49892;&#49884;&#49444;&#44228;)\702(&#45236;&#50669;&#49436;)\&#45236;&#50669;&#49436;100%25\&#45236;&#50669;&#49436;(702&#44277;&#44396;)&#45236;&#50669;&#48708;&#44368;.xls" TargetMode="External"/></Relationships>
</file>

<file path=xl/externalLinks/_rels/externalLink4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Mainsever\iber\2006\01.&#50896;&#44032;&#44228;&#49328;\&#44397;&#48169;&#53685;&#54633;&#51116;&#51221;&#51221;&#48372;&#49884;&#49828;&#53596;%20&#50896;&#44032;&#49328;&#51221;%20&#50857;&#50669;\02.&#51088;&#47308;\LG&#51228;&#44277;\20060511\&#51088;&#47308;-1\02.%20&#44397;&#48169;&#53685;&#54633;&#51116;&#51221;&#44396;&#52629;-&#50696;&#49328;&#51088;&#47308;\02.%20&#44397;&#48169;&#53685;&#54633;&#51116;&#51221;&#51221;&#48372;&#49884;&#49828;&#53596;%20&#44396;&#52629;&#49548;&#50836;&#50696;&#49328;(&#45824;&#52376;&#50504;)_&#54588;&#48391;&#53580;&#51060;&#48660;.xls" TargetMode="External"/></Relationships>
</file>

<file path=xl/externalLinks/_rels/externalLink4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0\ktn_&#44277;&#50976;\&#44428;&#49345;&#51456;\hist\2005\&#44592;&#44288;&#48324;\&#54028;&#51452;&#49884;\&#49345;_&#54616;&#49688;_&#46020;&#47196;&#53685;&#54633;%20&#49884;&#49444;&#47932;&#44288;&#47532;&#49884;&#49828;&#53596;_&#44552;&#50529;&#49444;&#44228;&#49436;.xls" TargetMode="External"/></Relationships>
</file>

<file path=xl/externalLinks/_rels/externalLink4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8149;&#49440;&#48393;\&#53552;&#45328;\&#48277;&#44592;(&#50577;&#49328;&#46041;&#47732;)\&#50629;&#52404;&#51088;&#47308;\&#51088;&#46041;&#51228;&#50612;\&#45236;&#50669;&#49436;.XLS" TargetMode="External"/></Relationships>
</file>

<file path=xl/externalLinks/_rels/externalLink4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&#48149;&#51221;&#49688;\&#48128;&#50577;\&#48156;&#51452;&#49444;&#44228;\&#44228;&#52769;&#51228;&#50612;\&#51068;&#49345;&#44048;&#49324;&#54980;\&#48128;&#50577;&#45236;&#50669;.xls" TargetMode="External"/></Relationships>
</file>

<file path=xl/externalLinks/_rels/externalLink45.xml.rels><?xml version="1.0" encoding="UTF-8" standalone="yes"?><Relationships xmlns="http://schemas.openxmlformats.org/package/2006/relationships"><Relationship Id="rId1" Type="http://schemas.openxmlformats.org/officeDocument/2006/relationships/externalLinkPath" Target="http://www45.daum.net/Mail-bin/Park1/&#51312;&#45804;&#50896;&#44032;/&#44221;&#50504;&#49345;&#49688;/office%20&#50577;&#49885;/I&#19968;&#33324;&#27604;.xls" TargetMode="External"/></Relationships>
</file>

<file path=xl/externalLinks/_rels/externalLink4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&#47448;&#49457;&#52384;\&#44277;&#49324;\&#44053;&#46041;&#44053;&#49436;&#53685;&#49888;&#49892;&#51221;&#48708;\98&#44277;&#49324;\&#49888;&#49464;&#44592;%20&#51204;&#49569;&#47581;\017(&#49888;&#49464;&#44592;)\LK-A4%20&#51204;&#49569;&#47581;\LK-A4%20&#44592;&#50504;&#49436;.xls" TargetMode="External"/></Relationships>
</file>

<file path=xl/externalLinks/_rels/externalLink4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1.10\ktn_&#44277;&#50976;\&#49324;&#50629;&#44288;&#47532;\&#49324;&#50629;&#51648;&#50669;&#44396;&#48516;\&#44221;&#44592;&#51648;&#50669;\&#50504;&#50577;&#49884;&#52397;\&#51648;&#54616;&#49884;&#49444;&#47932;&#51204;&#49328;&#54868;&#49324;&#50629;\&#50504;&#50577;&#49884;&#52628;&#44032;&#49444;&#44228;&#51473;\&#49688;&#52824;&#51648;&#46020;&#48512;&#48516;\04&#50504;&#50577;&#49688;&#52824;&#51648;&#46020;&#51228;&#51089;.xls" TargetMode="External"/></Relationships>
</file>

<file path=xl/externalLinks/_rels/externalLink4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My%20Documents\&#50896;&#44032;&#48516;&#49437;PG\My%20Documents\&#50896;&#44032;&#48516;&#49437;PG\acs.xls" TargetMode="External"/></Relationships>
</file>

<file path=xl/externalLinks/_rels/externalLink4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Ndfis-filesvr\&#44397;&#48169;&#51116;&#51221;&#51221;&#48372;&#49884;&#49828;&#53596;2&#45800;&#44228;&#49457;&#45733;&#44060;&#49440;\FP_&#44397;&#44032;&#51116;&#51221;&#51221;&#48372;(1&#52636;&#45225;&#44288;&#47532;)_&#48376;&#44284;&#48708;&#44368;.xls" TargetMode="External"/></Relationships>
</file>

<file path=xl/externalLinks/_rels/externalLink50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E:\Documents%20and%20Settings\LG%20CNS\&#48148;&#53461;%20&#54868;&#47732;\&#54252;&#53448;%20&#48143;%20&#44060;&#48156;%20&#44540;&#44144;\windows\TEMP\windows\TEMP\DOWN\&#51088;&#46041;&#44204;&#51201;.xls" TargetMode="External"/></Relationships>
</file>

<file path=xl/externalLinks/_rels/externalLink5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4608;&#47749;&#44592;\&#44277;&#50976;&#51088;&#47308;\Documents%20and%20Settings\&#51648;&#54616;&#52384;\&#48148;&#53461;%20&#54868;&#47732;\&#51652;\01.%20&#51648;&#54616;&#52384;\03.%20&#49436;&#50872;&#51648;&#54616;&#52384;7&#54840;&#49440;\702&#44277;&#44396;(&#49892;&#49884;&#49444;&#44228;)\702(&#45236;&#50669;&#49436;)\&#45236;&#50669;&#49436;100%25\&#51068;&#50948;.xls" TargetMode="External"/></Relationships>
</file>

<file path=xl/externalLinks/_rels/externalLink52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1312;&#54840;&#50672;\99&#44305;&#49444;&#44228;%20&#51333;\%6099&#46300;&#47548;&#46972;&#51064;\&#44592;&#48324;1.xls" TargetMode="External"/></Relationships>
</file>

<file path=xl/externalLinks/_rels/externalLink53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0629;&#47924;&#52280;&#44256;\&#45224;%20&#50629;&#47924;\&#48537;&#51076;1.&#49444;&#44228;&#49328;&#52636;&#45236;&#50669;.xls" TargetMode="External"/></Relationships>
</file>

<file path=xl/externalLinks/_rels/externalLink54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577;&#54788;&#51228;\D\PROJECT\&#46041;&#44305;\&#49688;&#46020;&#44592;&#49696;&#50672;&#44396;&#49548;(&#51068;&#50948;&#45824;&#44032;&#54364;)\&#44221;&#48512;2&#48373;&#49440;%20&#52380;&#50504;&#51076;&#49884;&#50669;&#49324;(&#44032;&#44201;&#49328;&#52636;&#45236;&#50669;&#49436;).xls" TargetMode="External"/></Relationships>
</file>

<file path=xl/externalLinks/_rels/externalLink55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44053;&#44592;&#45224;\&#54620;&#44397;&#53664;&#51648;&#44277;&#49324;\Documents%20and%20Settings\&#44608;&#48124;&#48176;\My%20Documents\&#51060;&#54617;&#51008;&#51089;&#50629;\&#54868;&#49457;&#46041;&#53444;&#44204;&#51201;\&#44277;&#44277;&#51221;&#48372;&#49468;&#53552;%20&#49345;&#49464;&#44204;&#51201;\&#54868;&#49457;%20&#46041;&#53444;%20U-City%20DB&#44204;&#51201;&#49436;_KT_HIST.xls" TargetMode="External"/></Relationships>
</file>

<file path=xl/externalLinks/_rels/externalLink56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&#47448;&#49457;&#52384;\&#44277;&#49324;\&#44053;&#46041;&#44053;&#49436;&#53685;&#49888;&#49892;&#51221;&#48708;\98&#44277;&#49324;\&#49888;&#49464;&#44592;%20&#51204;&#49569;&#47581;\017(&#49888;&#49464;&#44592;)\&#49888;&#49464;&#44592;%20&#50504;&#50577;&#44368;&#54872;&#44397;\&#49444;&#44228;\&#44277;&#49324;&#51648;&#49884;&#49436;(&#48372;&#44288;&#50857;).xls" TargetMode="External"/></Relationships>
</file>

<file path=xl/externalLinks/_rels/externalLink57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192.168.0.10\metro\Documents%20and%20Settings\Administrator\My%20Documents\2006%20&#45380;%201&#50900;%20&#51105;&#46041;&#49328;%20&#44608;&#47749;&#44592;\&#44033;&#44396;&#52397;\&#49436;&#50872;&#49884;&#52397;%20&#52397;&#49324;%20(&#45224;&#49328;)\&#49436;&#50872;%20&#49884;&#47549;&#45824;%20&#51221;&#48372;&#44592;&#49696;&#44288;&#49444;&#44228;&#49436;%20%20&#51089;&#50629;&#51473;2007.xls" TargetMode="External"/></Relationships>
</file>

<file path=xl/externalLinks/_rels/externalLink58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I:\&#54532;&#47196;&#51229;&#53944;&#54028;&#51068;\&#50629;&#47924;&#54028;&#51068;\&#44256;&#44061;\&#51312;&#45804;&#52397;\&#54028;&#53944;&#45320;\&#47004;&#44277;&#49324;\&#45349;&#49832;\&#44053;&#45224;&#51648;&#51216;&#51060;&#51204;\SKTCSA0.XLS" TargetMode="External"/></Relationships>
</file>

<file path=xl/externalLinks/_rels/externalLink59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&#50504;&#54952;&#48124;\C\Windows\&#48148;&#53461;%20&#54868;&#47732;\98&#49328;&#52636;&#51088;&#47308;\&#46160;&#47336;&#45367;\&#46041;&#50577;sh3&#52264;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一般比"/>
      <sheetName val="N賃率-職"/>
      <sheetName val="A製總"/>
      <sheetName val="IS"/>
      <sheetName val="J間材"/>
      <sheetName val="J輸入計"/>
      <sheetName val="J輸入率1"/>
      <sheetName val="J輸入材"/>
      <sheetName val="J作計"/>
      <sheetName val="J材料量1"/>
      <sheetName val="J材料量2"/>
      <sheetName val="J直材1"/>
      <sheetName val="J直材2"/>
      <sheetName val="J直材3"/>
      <sheetName val="J直材4"/>
      <sheetName val="K減象却"/>
      <sheetName val="K經計"/>
      <sheetName val="K經配賦"/>
      <sheetName val="K經調整"/>
      <sheetName val="K消耗分"/>
      <sheetName val="MS"/>
      <sheetName val="N間勞計"/>
      <sheetName val="N間比率"/>
      <sheetName val="N間時率"/>
      <sheetName val="N工數1"/>
      <sheetName val="N工數2"/>
      <sheetName val="N勞計"/>
      <sheetName val="N勞務分"/>
      <sheetName val="N勞務實"/>
      <sheetName val="N勞作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pplement2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설계명세서"/>
      <sheetName val="10.물량산출"/>
      <sheetName val="11.통신노임산출(정정)내역"/>
      <sheetName val="품셈표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설계표지"/>
      <sheetName val="설계설명"/>
      <sheetName val="원가계산"/>
      <sheetName val="지급자재"/>
      <sheetName val="공사내역"/>
      <sheetName val="토공물량"/>
      <sheetName val="복구.비파괴금액"/>
      <sheetName val="계약표지"/>
      <sheetName val="계약내역"/>
      <sheetName val="도급금액"/>
      <sheetName val="계약총괄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간지"/>
      <sheetName val="요약"/>
      <sheetName val="집계"/>
      <sheetName val="ISP"/>
      <sheetName val="설계집계"/>
      <sheetName val="기본설계"/>
      <sheetName val="실시설계"/>
      <sheetName val="서비스별공사비"/>
      <sheetName val="분야별공사비"/>
      <sheetName val="서비스별배부율"/>
      <sheetName val="평균공사비"/>
      <sheetName val="단위서비스별"/>
      <sheetName val="설계요율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</sheetDataSet>
  </externalBook>
</externalLink>
</file>

<file path=xl/externalLinks/externalLink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표"/>
      <sheetName val="명세서"/>
      <sheetName val="1.1서버도입"/>
      <sheetName val="1.2 소프트웨어"/>
      <sheetName val="1.3 NW장비"/>
      <sheetName val="2. NW공사"/>
      <sheetName val="3.응용개발"/>
      <sheetName val="공사원가명세서"/>
      <sheetName val="공사상세내역"/>
      <sheetName val="과기처단가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공사설명서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장비형품목산출서"/>
      <sheetName val="품목(Rack,OFD)산출서"/>
      <sheetName val="일위대가"/>
      <sheetName val="관로시설"/>
      <sheetName val="pld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투자효율분석"/>
      <sheetName val="공사계획서"/>
      <sheetName val="공사비예산서"/>
      <sheetName val="주자재"/>
      <sheetName val="설계명세(전송분)"/>
      <sheetName val="예산총괄표"/>
      <sheetName val="남서울지점"/>
      <sheetName val="서울지점"/>
      <sheetName val="기본요율"/>
      <sheetName val="cost9801"/>
      <sheetName val="Module2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ANGUAGE"/>
      <sheetName val="PART_DISCOUNT"/>
      <sheetName val="전체"/>
      <sheetName val="7470 MSP Matrix"/>
      <sheetName val="7270 MSC"/>
      <sheetName val="CATEGORY_DISCOUNT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1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VXXX"/>
      <sheetName val="단순공사"/>
      <sheetName val="단가표"/>
      <sheetName val="키폰주장치(설계서#1)"/>
      <sheetName val="AL DUCT(설계서#2)"/>
      <sheetName val="국내케이블(설계서#3)"/>
      <sheetName val="전원케이블(설계서#4)"/>
      <sheetName val="후렉시블(설계서#5)"/>
      <sheetName val="스피커선(설계서#6)"/>
      <sheetName val="AMP(설계서#7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ASP"/>
      <sheetName val="보도"/>
      <sheetName val="사리도"/>
      <sheetName val="투스콘"/>
      <sheetName val="Sheet1"/>
      <sheetName val="강동것1"/>
      <sheetName val="강동것"/>
      <sheetName val="참고"/>
      <sheetName val="1.사용법"/>
      <sheetName val="2.작성기준"/>
      <sheetName val="3.할증기준"/>
      <sheetName val="8.품셈단위환산"/>
      <sheetName val="11.자재단가비교"/>
      <sheetName val="9.품셈총괄"/>
      <sheetName val="10.품셈"/>
      <sheetName val="12.부표총괄"/>
      <sheetName val="13.부표"/>
      <sheetName val="14.별표"/>
      <sheetName val="15.복구기준"/>
      <sheetName val="10.할증예시"/>
      <sheetName val="노임단가"/>
      <sheetName val="핸드홀도"/>
      <sheetName val="14.경비입력"/>
      <sheetName val="12.재료비입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1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_x0000_ÿ"/>
      <sheetName val="laroux"/>
      <sheetName val="공사설명서"/>
      <sheetName val="지입재료구입내역서"/>
      <sheetName val="재료비산출자료"/>
      <sheetName val="인부사역계획표"/>
      <sheetName val="노무비"/>
      <sheetName val="테이블표"/>
      <sheetName val="내역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1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견적서"/>
      <sheetName val="설계서및표지"/>
      <sheetName val="원가계산서"/>
      <sheetName val="총괄내역서 "/>
      <sheetName val="내역서"/>
      <sheetName val="일위대가표"/>
      <sheetName val="수량산출"/>
      <sheetName val="2009 품셈"/>
      <sheetName val="2009 노무비"/>
      <sheetName val="재료비"/>
      <sheetName val="내역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0000"/>
      <sheetName val="컴팩 "/>
      <sheetName val="컴팩  (2)"/>
      <sheetName val="COMPAQ-LIST"/>
      <sheetName val="컴팩 ATLA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LH3 동양시스템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LF &amp; EIF"/>
      <sheetName val="EI"/>
      <sheetName val="EQ"/>
      <sheetName val="EO"/>
      <sheetName val="FPA"/>
      <sheetName val="Package (In-House)"/>
      <sheetName val="In House"/>
      <sheetName val="VAF"/>
      <sheetName val="순수개발"/>
      <sheetName val="Macro상수지정"/>
      <sheetName val="Config"/>
      <sheetName val="Package (by ITSA)"/>
      <sheetName val="Dialog1"/>
      <sheetName val="Module1"/>
      <sheetName val="Module2"/>
      <sheetName val="영남_1"/>
      <sheetName val="한계원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VXXXXX"/>
      <sheetName val="설계표지"/>
      <sheetName val="설계설명"/>
      <sheetName val="원가계산"/>
      <sheetName val="공사내역"/>
      <sheetName val="지급자재"/>
      <sheetName val="토공물량"/>
      <sheetName val="복구.비파괴금액"/>
      <sheetName val="견적총괄"/>
      <sheetName val="계약표지"/>
      <sheetName val="계약내역"/>
      <sheetName val="도급금액"/>
      <sheetName val="계약총괄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F3800-SF4800"/>
      <sheetName val="10월가격"/>
      <sheetName val="SF3800-4800(박용찬-1108)(1)"/>
    </sheetNames>
    <definedNames>
      <definedName name="BlankMacro1"/>
    </definedNames>
    <sheetDataSet>
      <sheetData sheetId="0"/>
      <sheetData sheetId="1" refreshError="1"/>
      <sheetData sheetId="2" refreshError="1"/>
    </sheetDataSet>
  </externalBook>
</externalLink>
</file>

<file path=xl/externalLinks/externalLink1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공사설명서"/>
      <sheetName val="선정사유"/>
      <sheetName val="예정공정표"/>
      <sheetName val="기별표지"/>
      <sheetName val="공사계획서"/>
      <sheetName val="소요자재"/>
      <sheetName val="노무산출서"/>
      <sheetName val="공사비예산서"/>
      <sheetName val="설계명세서(종합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</sheetDataSet>
  </externalBook>
</externalLink>
</file>

<file path=xl/externalLinks/externalLink2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Sheet1"/>
      <sheetName val="설명서"/>
      <sheetName val="감독"/>
      <sheetName val="전송망구성도"/>
      <sheetName val="실사자료"/>
      <sheetName val="투자효율분석"/>
      <sheetName val="공사계획서"/>
      <sheetName val="공사비예산서"/>
      <sheetName val="선로분"/>
      <sheetName val="장비분"/>
      <sheetName val="기본요율"/>
      <sheetName val="cost9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지시서(업체)"/>
      <sheetName val="지시서(보관)"/>
      <sheetName val="기안"/>
      <sheetName val="공사설명서"/>
      <sheetName val="공사계획서"/>
      <sheetName val="공사비예산서"/>
      <sheetName val="명세서"/>
      <sheetName val="품셈"/>
      <sheetName val="피스표"/>
      <sheetName val="자재대체1"/>
      <sheetName val="자재대체2"/>
      <sheetName val="총계"/>
      <sheetName val="SKT오남리1"/>
      <sheetName val="SKT오남리2"/>
      <sheetName val="SKT오남리3"/>
      <sheetName val="송라산"/>
      <sheetName val="SKT수동계곡1"/>
      <sheetName val="SKT수동계곡2"/>
      <sheetName val="SKT수동계곡3"/>
      <sheetName val="SKT수동계곡4"/>
      <sheetName val="SKT수동계곡5"/>
      <sheetName val="국민은행"/>
      <sheetName val="용미리"/>
      <sheetName val="기산리"/>
      <sheetName val="SKT등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2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pa_dev(dev)"/>
      <sheetName val="Data Vol"/>
      <sheetName val="공통부대비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가격산출근거표"/>
      <sheetName val="개발용역비"/>
      <sheetName val="SW구매원가"/>
      <sheetName val="HW구매원가"/>
      <sheetName val="간이기능내역"/>
      <sheetName val="FPA_검증"/>
      <sheetName val="공수견적"/>
      <sheetName val="비용산정"/>
      <sheetName val="품질항목"/>
      <sheetName val="CountingTip"/>
      <sheetName val="Macro상수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VXXX"/>
      <sheetName val="Sheet2"/>
      <sheetName val="Sheet1"/>
      <sheetName val="단순공사"/>
      <sheetName val="단가표"/>
      <sheetName val="키폰주장치(설계서#1)"/>
      <sheetName val="AL DUCT(설계서#2)"/>
      <sheetName val="국내케이블(설계서#3)"/>
      <sheetName val="전원케이블(설계서#4)"/>
      <sheetName val="후렉시블(설계서#5)"/>
      <sheetName val="스피커선(설계서#6)"/>
      <sheetName val="AMP(설계서#7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공종"/>
      <sheetName val="수량산출"/>
      <sheetName val="cost"/>
      <sheetName val="공사원가"/>
      <sheetName val="도급금액"/>
      <sheetName val="내역서"/>
      <sheetName val="관급자재"/>
      <sheetName val="관급자재 (설계서)"/>
      <sheetName val="예산내역표지"/>
      <sheetName val="예산조서(무단가)"/>
      <sheetName val="공종별예산조서 (총괄)"/>
      <sheetName val="공종별예산조서"/>
      <sheetName val="일위산출"/>
      <sheetName val="일위대가표"/>
      <sheetName val="운반비"/>
      <sheetName val="운반중량"/>
      <sheetName val="동원내역"/>
      <sheetName val="동원인원"/>
      <sheetName val="piece"/>
      <sheetName val="예정공정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heet1"/>
      <sheetName val="노임"/>
      <sheetName val="10월가격"/>
    </sheetNames>
    <sheetDataSet>
      <sheetData sheetId="0"/>
      <sheetData sheetId="1" refreshError="1"/>
      <sheetData sheetId="2" refreshError="1"/>
    </sheetDataSet>
  </externalBook>
</externalLink>
</file>

<file path=xl/externalLinks/externalLink2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Upgrades pricing"/>
      <sheetName val="2.1 Reg Part Numbers"/>
      <sheetName val="2.2 Reg Part Numbers"/>
      <sheetName val="2.3 Reg Part Numbers"/>
      <sheetName val="2.1  pricing"/>
      <sheetName val="2.2  pricing"/>
      <sheetName val="2.3  pricing"/>
      <sheetName val="Upgradespricing"/>
      <sheetName val="노임"/>
      <sheetName val="PriceMaster"/>
      <sheetName val="Option"/>
      <sheetName val="inputarea_ref"/>
      <sheetName val="11월가격"/>
      <sheetName val="Uplift"/>
      <sheetName val="Master"/>
      <sheetName val="GRACE"/>
      <sheetName val="Supplement2"/>
      <sheetName val="ARC95PRC"/>
      <sheetName val="수주월"/>
      <sheetName val="T진도"/>
      <sheetName val="경"/>
      <sheetName val="Server"/>
      <sheetName val="기본계획"/>
      <sheetName val="인건-측정"/>
      <sheetName val="9월가격"/>
      <sheetName val="COST"/>
      <sheetName val="Lists"/>
      <sheetName val="OPT"/>
      <sheetName val="PROCESS"/>
      <sheetName val="Sheet1"/>
      <sheetName val="과천MAIN"/>
      <sheetName val="SV"/>
      <sheetName val="상담파트"/>
      <sheetName val="St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V"/>
      <sheetName val="OPT"/>
      <sheetName val="Carepack"/>
      <sheetName val="MS"/>
      <sheetName val="RACK"/>
      <sheetName val="ML350G3"/>
      <sheetName val="ML370G3"/>
      <sheetName val="ML530G2"/>
      <sheetName val="ML570G2"/>
      <sheetName val="DL320G2"/>
      <sheetName val="DL360G3"/>
      <sheetName val="DL380G3"/>
      <sheetName val="DL380G3CP"/>
      <sheetName val="DL560"/>
      <sheetName val="DL580G2"/>
      <sheetName val="DL740"/>
      <sheetName val="DL760G2"/>
      <sheetName val="Backu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ummary"/>
      <sheetName val="Price updates"/>
      <sheetName val="LANGUAGE"/>
      <sheetName val="PART_DISCOUNT"/>
      <sheetName val="7270 MSC (ndFile1)"/>
      <sheetName val="5620 NM (ndFile2)"/>
      <sheetName val="7270 MSC Matrix"/>
      <sheetName val="5620 NM Matrix"/>
      <sheetName val="CATEGORY_DISCOU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견적서1"/>
      <sheetName val="견적서2"/>
      <sheetName val="사전사후1"/>
      <sheetName val="사전사후2"/>
      <sheetName val="model master"/>
      <sheetName val="Upgrades pricing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foxz"/>
      <sheetName val="준공기별"/>
      <sheetName val="노무비"/>
      <sheetName val="cost9809"/>
      <sheetName val="자재산출내역"/>
      <sheetName val="노무산출내역서"/>
      <sheetName val="광케이블 피스표"/>
      <sheetName val="광케이블접속물량"/>
      <sheetName val="케이블바인딩"/>
      <sheetName val="OFD,접속함체선번장"/>
      <sheetName val="평면도"/>
      <sheetName val="인입도1"/>
      <sheetName val="인입도"/>
      <sheetName val="시험성적서"/>
      <sheetName val="데이타양식"/>
      <sheetName val="광계통도"/>
      <sheetName val="루트도"/>
      <sheetName val="현장사진첩"/>
      <sheetName val="공정보고"/>
      <sheetName val="타이틀"/>
      <sheetName val="목차"/>
      <sheetName val="공사설명서 "/>
      <sheetName val="예산총괄"/>
      <sheetName val="예산내역서"/>
      <sheetName val="공정량산출"/>
      <sheetName val="공구"/>
      <sheetName val="공구총괄"/>
      <sheetName val="일위대가"/>
      <sheetName val="운반비"/>
      <sheetName val="지입자재"/>
      <sheetName val="자재총괄"/>
      <sheetName val="지입자재단가"/>
      <sheetName val="광피스표(세부)"/>
      <sheetName val="광피스표(총괄)"/>
      <sheetName val="지입자재조서"/>
      <sheetName val="사급자재조서"/>
      <sheetName val="광접속산출"/>
      <sheetName val="기계손료산출"/>
      <sheetName val="기계손료산출근거"/>
      <sheetName val="기별"/>
      <sheetName val="광피스표"/>
      <sheetName val="자재내역"/>
      <sheetName val="Sheet1"/>
      <sheetName val="Sheet2"/>
      <sheetName val="Sheet3"/>
      <sheetName val="기별-철거"/>
      <sheetName val="XXXXXX"/>
      <sheetName val="laroux"/>
      <sheetName val="광케이블총괄"/>
      <sheetName val="기별총괄"/>
      <sheetName val="남동~동부천전화국앞 "/>
      <sheetName val="신천~시흥(광피스)(1)"/>
      <sheetName val="KT접속점"/>
      <sheetName val="신천접속점~시흥연성 간(2)"/>
      <sheetName val="접속~만수(광피스)(1)"/>
      <sheetName val="만수간기별"/>
      <sheetName val="접속점~만수(1,2)"/>
      <sheetName val="남동소방~풍림(3)"/>
      <sheetName val="접속~동양기전(4)"/>
      <sheetName val="하나로~산업유통(5)"/>
      <sheetName val="신세계(6)"/>
      <sheetName val="연수링"/>
      <sheetName val="부천간"/>
      <sheetName val="시흥연성간"/>
      <sheetName val="만수동간"/>
      <sheetName val="풍림간"/>
      <sheetName val="산업유통간"/>
      <sheetName val="신세계A"/>
      <sheetName val="하나로연수링"/>
      <sheetName val="연수(광피스) (1)"/>
      <sheetName val="연수링망구성) (2)"/>
      <sheetName val="효성상아"/>
      <sheetName val="접속점~신동아"/>
      <sheetName val="현대MDF"/>
      <sheetName val="접속점~쌍용MDF"/>
      <sheetName val="준공검사보고서"/>
      <sheetName val="정산내역서"/>
      <sheetName val="자재,노무비 산출내역"/>
      <sheetName val="주요설비내역"/>
      <sheetName val="망계통도(위치)"/>
      <sheetName val="장비결선도"/>
      <sheetName val="망구성도"/>
      <sheetName val="사진대장"/>
      <sheetName val="내역서"/>
      <sheetName val="소요자재"/>
      <sheetName val="노무산출"/>
      <sheetName val="코아접속"/>
      <sheetName val="바인드"/>
      <sheetName val="피스표"/>
      <sheetName val="종합분"/>
      <sheetName val="하판분기-용수리분기"/>
      <sheetName val="성주분기-왜관분기"/>
      <sheetName val="왜관분기-북삼삼거리"/>
      <sheetName val="북삼삼거리-남면분기"/>
      <sheetName val="남면분기-성주분기"/>
      <sheetName val="성주분기-벽진분기"/>
      <sheetName val="벽진분기-벽진3"/>
      <sheetName val="벽진분기-금수초교"/>
      <sheetName val="금수초교-금수분기"/>
      <sheetName val="금수분기-조마분기"/>
      <sheetName val="금수분기-증산분기"/>
      <sheetName val="증산분기-지례분기"/>
      <sheetName val="대덕-부항분기"/>
      <sheetName val="부항분기-영동분기"/>
      <sheetName val="영동분기-조마분기"/>
      <sheetName val="화원분기-고령분기"/>
      <sheetName val="공성분기-상주대분기"/>
      <sheetName val="임대국사-낙동분기"/>
      <sheetName val="낙동분기-일선교분기"/>
      <sheetName val="금수분기-신평리분기"/>
      <sheetName val="지례분기-STI지례"/>
      <sheetName val="무을분기-공성분기"/>
      <sheetName val="상주분기-임대국사"/>
      <sheetName val="공성분기~모서분기"/>
      <sheetName val="검사보고서"/>
      <sheetName val="사급자재시설현황"/>
      <sheetName val="집계표"/>
      <sheetName val="정산비교"/>
      <sheetName val="소요자재(신설)"/>
      <sheetName val="소요자재(철거)"/>
      <sheetName val="노무산출서(신설)"/>
      <sheetName val="노무산출서(철거)"/>
      <sheetName val="바인드 물량"/>
      <sheetName val="코아접속 물량"/>
      <sheetName val="종합자재"/>
      <sheetName val="광케이블 내역"/>
      <sheetName val="자재사용(송죽회관)"/>
      <sheetName val="자재사용(죽정리)"/>
      <sheetName val="자재사용(반암리)"/>
      <sheetName val="자재사용(동호리)"/>
      <sheetName val="자재사용(양양공항)"/>
      <sheetName val="자재사용(주문진)"/>
      <sheetName val="자재사용(부연지)"/>
      <sheetName val="자재사용(송신소)"/>
      <sheetName val="자재사용(법수한전)"/>
      <sheetName val="자재사용(법수도로)"/>
      <sheetName val="자재사용(인구)"/>
      <sheetName val="자재사용(양양12)"/>
      <sheetName val="자재사용(양양24)"/>
      <sheetName val="자재사용(조양동)"/>
      <sheetName val="자재사용(장사동)"/>
      <sheetName val="자재사용(삽교지)"/>
      <sheetName val="자재사용(홍제동)"/>
      <sheetName val="자재사용(태백)"/>
      <sheetName val="자재사용(야촌리)"/>
      <sheetName val="자재사용(평창운교)"/>
      <sheetName val="자재사용(평창재산)"/>
      <sheetName val="자재사용(수하리)"/>
      <sheetName val="자재사용(횡계109)"/>
      <sheetName val="자재사용(이목정)"/>
      <sheetName val="자재사용(속사리)"/>
      <sheetName val="자재사용(주암교)"/>
      <sheetName val="자재사용(횡계SKT)"/>
      <sheetName val="자재사용(화일지)"/>
      <sheetName val="자재사용(속초지중)"/>
      <sheetName val="자재사용(동우대)"/>
      <sheetName val="자재사용(속초부영)"/>
      <sheetName val="자재사용(개수지)"/>
      <sheetName val="종합기별 (철거)"/>
      <sheetName val="종합기별(신설)"/>
      <sheetName val="철거(강릉국도송죽회관)"/>
      <sheetName val="신설(강릉국도송죽회관)"/>
      <sheetName val="철거(강릉국도죽정)"/>
      <sheetName val="신설(강릉국도죽정)"/>
      <sheetName val="철거(강릉국도반암)"/>
      <sheetName val="신설(강릉국도반암)"/>
      <sheetName val="철거(양양동호리)"/>
      <sheetName val="신설(양양동호리)"/>
      <sheetName val="철거(양양공항)"/>
      <sheetName val="신설(양양공항)"/>
      <sheetName val="철거(주문진)"/>
      <sheetName val="신설(주문진)"/>
      <sheetName val="철거(부연지)"/>
      <sheetName val="신설(부연지)"/>
      <sheetName val="철거(수산지)"/>
      <sheetName val="신설(수산지)"/>
      <sheetName val="철거(법수치)"/>
      <sheetName val="신설(법수치)"/>
      <sheetName val="철거(법수치2)"/>
      <sheetName val="신설(법수치2)"/>
      <sheetName val="철거(인구지장)"/>
      <sheetName val="신설(인구지장)"/>
      <sheetName val="철거(양수발전소12)"/>
      <sheetName val="신설(양수발전소12)"/>
      <sheetName val="철거(양수발전소24C)"/>
      <sheetName val="신설(양수발전소24C) "/>
      <sheetName val="철거(대포간)"/>
      <sheetName val="신설(대포간)"/>
      <sheetName val="철거(교동)"/>
      <sheetName val="신설(교동)"/>
      <sheetName val="철거(삽교지)"/>
      <sheetName val="신설(삽교지)"/>
      <sheetName val="철거(인구간)"/>
      <sheetName val="신설(인구간)"/>
      <sheetName val="철거(화전지)"/>
      <sheetName val="신설(화전지)"/>
      <sheetName val="철거(야촌리)"/>
      <sheetName val="신설(야촌리)"/>
      <sheetName val="철거(평창)"/>
      <sheetName val="신설(평창)"/>
      <sheetName val="철거(재산리)"/>
      <sheetName val="신설(재산리)"/>
      <sheetName val="철거(수화리)"/>
      <sheetName val="신설(수화리)"/>
      <sheetName val="철거(109연대)"/>
      <sheetName val="신설(109연대)"/>
      <sheetName val="철거(이목정)"/>
      <sheetName val="신설(이목정)"/>
      <sheetName val="철거(속사)"/>
      <sheetName val="신설(속사)"/>
      <sheetName val="철거(주암교)"/>
      <sheetName val="신설(주암교)"/>
      <sheetName val="철거(SKT앞)"/>
      <sheetName val="신설(SKT앞)"/>
      <sheetName val="철거(화일지)"/>
      <sheetName val="신설(화일지)"/>
      <sheetName val="철거(지중화24)"/>
      <sheetName val="신설(지중화24)"/>
      <sheetName val="철거(지중화동우대6)"/>
      <sheetName val="신설(지중화동우대12)"/>
      <sheetName val="철거(지중화부영)"/>
      <sheetName val="신설(지중화부영)"/>
      <sheetName val="철거(개수지)"/>
      <sheetName val="신설(개수지)"/>
      <sheetName val="철거(SKT앞©"/>
      <sheetName val="신설(SKT앞)_x0007_ꀁ烌⢬吀糖샇⧉܀Ā신설(화일지)_x0009_ꀁ烌⢬쀀ᇉ"/>
      <sheetName val="신설(SKT앞)_x0007_ꀁ烌⢬吀糖샇⧉܀Ā신설(화일지) ꀁ烌⢬쀀ᇉ"/>
    </sheetNames>
    <definedNames>
      <definedName name="print_net"/>
      <definedName name="select_bg"/>
      <definedName name="select_gg"/>
      <definedName name="select_gi"/>
      <definedName name="select_gjj3"/>
      <definedName name="select_gjp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 refreshError="1"/>
      <sheetData sheetId="226"/>
    </sheetDataSet>
  </externalBook>
</externalLink>
</file>

<file path=xl/externalLinks/externalLink3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etup"/>
      <sheetName val="프로젝트개요"/>
      <sheetName val="개발단계"/>
      <sheetName val="개발규모"/>
      <sheetName val="간이법"/>
      <sheetName val="정규법"/>
      <sheetName val="보정계수"/>
      <sheetName val="직접경비"/>
      <sheetName val="개발비"/>
      <sheetName val="총괄표"/>
      <sheetName val="ISP"/>
      <sheetName val="MM방식"/>
      <sheetName val="model 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운반비산출"/>
      <sheetName val="운반중량"/>
      <sheetName val="LRH인공"/>
      <sheetName val="강관주"/>
      <sheetName val="CCTV철거"/>
      <sheetName val="CCTV"/>
      <sheetName val="스피커"/>
      <sheetName val="배관배선"/>
      <sheetName val="옥외배선함"/>
      <sheetName val="연선전화"/>
      <sheetName val="토크백,터파기"/>
      <sheetName val="5공종별예산조서"/>
      <sheetName val="철거발생품"/>
      <sheetName val="관급자재"/>
      <sheetName val="원가계산"/>
      <sheetName val="도급예산서"/>
      <sheetName val="일위기초"/>
      <sheetName val="일위대가"/>
      <sheetName val="수량조서"/>
      <sheetName val="수량집계"/>
      <sheetName val="수량산출"/>
      <sheetName val="지중도체"/>
      <sheetName val="케이블100P"/>
      <sheetName val="케이블74P "/>
      <sheetName val="케이블54P"/>
      <sheetName val="케이블28P"/>
      <sheetName val="케이블14P"/>
      <sheetName val="철거54P"/>
      <sheetName val="도관전선"/>
      <sheetName val="사정조서"/>
      <sheetName val="사정표지"/>
      <sheetName val="공사개요"/>
      <sheetName val="총괄집계표"/>
      <sheetName val="Sheet1"/>
      <sheetName val="Sheet2"/>
      <sheetName val="Sheet3"/>
      <sheetName val="LANGU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설명서"/>
      <sheetName val="감독자"/>
      <sheetName val="전송망구성도"/>
      <sheetName val="실사자료"/>
      <sheetName val="투자효율분석"/>
      <sheetName val="공사계획서"/>
      <sheetName val="공사비예산서"/>
      <sheetName val="장비분"/>
      <sheetName val="선로분"/>
      <sheetName val="기본요율"/>
      <sheetName val="cost9801"/>
      <sheetName val="총괄집계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기안"/>
      <sheetName val="공사설명서"/>
      <sheetName val="망구성도"/>
      <sheetName val="예정공정표"/>
      <sheetName val="공사계획서"/>
      <sheetName val="공사비예산서"/>
      <sheetName val="설계명세서 (장비)"/>
      <sheetName val="설계명세서(선로)"/>
      <sheetName val="소요자재명세서2"/>
      <sheetName val="노무비명세서2"/>
      <sheetName val="일위대가"/>
      <sheetName val="관로시설"/>
      <sheetName val="바인딩물량"/>
      <sheetName val="코아접속물량"/>
      <sheetName val="케이블피스표"/>
      <sheetName val="소요자재명세서"/>
      <sheetName val="노무비명세서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3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SDW_기능목록"/>
      <sheetName val="setup"/>
    </sheetNames>
    <sheetDataSet>
      <sheetData sheetId="0" refreshError="1"/>
      <sheetData sheetId="1" refreshError="1"/>
    </sheetDataSet>
  </externalBook>
</externalLink>
</file>

<file path=xl/externalLinks/externalLink3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심사출력"/>
      <sheetName val="심사물량"/>
      <sheetName val="심사계산"/>
      <sheetName val="setup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투자효율분석"/>
      <sheetName val="망계통도"/>
      <sheetName val="실사결과"/>
      <sheetName val="공사계획서"/>
      <sheetName val="공사비예산서"/>
      <sheetName val="설계명세(전송분)"/>
      <sheetName val="설계명세(선로분)"/>
      <sheetName val="기본요율"/>
      <sheetName val="cost9801"/>
      <sheetName val="설계명세_선로분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3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사용자설명서"/>
      <sheetName val="물량조사"/>
      <sheetName val="입력변수"/>
      <sheetName val="설계111"/>
      <sheetName val="심사물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1.공사원가"/>
      <sheetName val="2.예산조서총괄"/>
      <sheetName val="3.예산조서"/>
      <sheetName val="공종"/>
      <sheetName val="산출(702)"/>
      <sheetName val="집계(702)"/>
      <sheetName val="내역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표"/>
      <sheetName val="별첨 #1. 년도별 소요예산"/>
      <sheetName val="별첨 #1-1. 각기능별개발원가"/>
      <sheetName val="별첨#1-2. 기능점수산출"/>
      <sheetName val="별첨#2. 직접경비 산출내역"/>
      <sheetName val="별첨#2-1. 전문가역할세부내역"/>
      <sheetName val="별첨#3. 장비임차료"/>
      <sheetName val="별첨#4. 상용 SW 구매"/>
      <sheetName val="별첨#5. 사이버교육 콘텐츠 구축"/>
      <sheetName val="참조#1. 데이터기능점수"/>
      <sheetName val="참조#2. 트랜잭션기능점수"/>
      <sheetName val="별첨#4. 연도별 장비 소요예산"/>
      <sheetName val="별첨#5. 장비 년도별 투자금액"/>
      <sheetName val="FP_DF"/>
      <sheetName val="데이터(피벗)"/>
      <sheetName val="FP_TF"/>
      <sheetName val="트랜잭션(피벗)"/>
      <sheetName val="FP_DF(NO)"/>
      <sheetName val="데이터(신규피벗)"/>
      <sheetName val="FP_TF(NO)"/>
      <sheetName val="트랜잭션(신규구분피벗)"/>
      <sheetName val="입력변수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4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표지"/>
      <sheetName val="1. 소프트웨어"/>
      <sheetName val="2. 추가개발원가"/>
      <sheetName val="3. 추가개발원가 산출근거표"/>
      <sheetName val="4. 도로_상_하수_추가개발 FP"/>
      <sheetName val="5. 도로_상_하수_범용FP"/>
      <sheetName val="6. 직접경비"/>
      <sheetName val="별첨 #1-1. 각기능별개발원가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/>
      <sheetData sheetId="7" refreshError="1"/>
    </sheetDataSet>
  </externalBook>
</externalLink>
</file>

<file path=xl/externalLinks/externalLink4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내역"/>
      <sheetName val="세부내역"/>
      <sheetName val="일위집계"/>
      <sheetName val="일위대가"/>
      <sheetName val="단가산출"/>
      <sheetName val="노임단가"/>
      <sheetName val="집계표(밀)"/>
      <sheetName val="세부산출(밀)"/>
      <sheetName val="Sheet2"/>
      <sheetName val="Sheet1"/>
      <sheetName val=""/>
      <sheetName val="1.3 현장계측설비"/>
      <sheetName val="6. 직접경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예정공정"/>
      <sheetName val="산출내역"/>
      <sheetName val="총괄내역"/>
      <sheetName val="세부내역"/>
      <sheetName val="직 영 비"/>
      <sheetName val="원가계산"/>
      <sheetName val="원가근거"/>
      <sheetName val="일위집계"/>
      <sheetName val="일위대가"/>
      <sheetName val="단가산출"/>
      <sheetName val="노임단가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I一般比"/>
      <sheetName val="단가산출"/>
    </sheetNames>
    <sheetDataSet>
      <sheetData sheetId="0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기안1"/>
      <sheetName val="공사설명서"/>
      <sheetName val="망계통도"/>
      <sheetName val="공사계획서"/>
      <sheetName val="예정공정표"/>
      <sheetName val="공사비예산서"/>
      <sheetName val="설계명세서 (장비)"/>
      <sheetName val="설계명세서(선로)"/>
      <sheetName val="소요자재명세서"/>
      <sheetName val="노무비명세서"/>
      <sheetName val="일위대가"/>
      <sheetName val="관로시설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총괄표지"/>
      <sheetName val="총괄"/>
      <sheetName val="원가표지"/>
      <sheetName val="원가계산서"/>
      <sheetName val="설계표지"/>
      <sheetName val="설계내역서"/>
      <sheetName val="일위대가표지"/>
      <sheetName val="일위기본도"/>
      <sheetName val="산출근거"/>
      <sheetName val="성과항측(총괄)"/>
      <sheetName val="성과항측(출장)"/>
      <sheetName val="성과항측(현지검측) "/>
      <sheetName val="재료비"/>
      <sheetName val="여비규정"/>
      <sheetName val="I一般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입력"/>
      <sheetName val="예비품입력"/>
      <sheetName val="공사비입력"/>
      <sheetName val="부대물자입력"/>
      <sheetName val="정류기"/>
      <sheetName val="밧데리"/>
      <sheetName val="실장도"/>
      <sheetName val="Sheet9"/>
      <sheetName val="Sheet10"/>
      <sheetName val="Sheet11"/>
      <sheetName val="Sheet12"/>
      <sheetName val="Sheet13"/>
      <sheetName val="Sheet14"/>
      <sheetName val="Sheet15"/>
      <sheetName val="Sheet16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기본정보"/>
      <sheetName val="Data"/>
      <sheetName val="Transaction"/>
      <sheetName val="FPA_수정금지"/>
      <sheetName val="VAF"/>
      <sheetName val="공수견적"/>
      <sheetName val="CountingTip"/>
      <sheetName val="품질항목"/>
      <sheetName val="Macro상수"/>
      <sheetName val="일위대가표지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externalLinks/externalLink50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PLT8500"/>
      <sheetName val="견적서1"/>
      <sheetName val="견적서2"/>
      <sheetName val="사전사후1"/>
      <sheetName val="사전사후2"/>
      <sheetName val="model master"/>
      <sheetName val="Transac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일위목록"/>
      <sheetName val="일위산출"/>
      <sheetName val="일위대가"/>
      <sheetName val="COST "/>
    </sheetNames>
    <sheetDataSet>
      <sheetData sheetId="0"/>
      <sheetData sheetId="1"/>
      <sheetData sheetId="2"/>
      <sheetData sheetId="3"/>
    </sheetDataSet>
  </externalBook>
</externalLink>
</file>

<file path=xl/externalLinks/externalLink52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257A1"/>
      <sheetName val="292B1"/>
      <sheetName val="296B1"/>
      <sheetName val="296G1"/>
      <sheetName val="297B1"/>
      <sheetName val="3BBA1"/>
      <sheetName val="3BBB1"/>
      <sheetName val="3BBG1"/>
      <sheetName val="259A1"/>
      <sheetName val="455B1"/>
      <sheetName val="260A2"/>
      <sheetName val="260G2"/>
      <sheetName val="261A1"/>
      <sheetName val="261B1"/>
      <sheetName val="37BA1"/>
      <sheetName val="37BB1"/>
      <sheetName val="492B1"/>
      <sheetName val="261A2"/>
      <sheetName val="493A1"/>
      <sheetName val="221A1"/>
      <sheetName val="221A3"/>
      <sheetName val="221A4"/>
      <sheetName val="221B1"/>
      <sheetName val="laroux"/>
      <sheetName val="집계표"/>
      <sheetName val="광케블조장"/>
      <sheetName val="광손실표"/>
      <sheetName val="광기별"/>
      <sheetName val="광기별 (2)"/>
      <sheetName val="광기별 (3)"/>
      <sheetName val="계통도"/>
      <sheetName val="표지"/>
      <sheetName val="목차"/>
      <sheetName val="1. 기본설계서"/>
      <sheetName val="1-1. 공사계획서"/>
      <sheetName val="1-2. 공사비 총괄표"/>
      <sheetName val="1-3. 자금계획서"/>
      <sheetName val="1-4. 예정공정표"/>
      <sheetName val="1-5. 주자재내역서"/>
      <sheetName val="1-6. 자재산출내역"/>
      <sheetName val="1-7. 사업소별산출내역"/>
      <sheetName val="2. 설계명세서"/>
      <sheetName val="3. 품셈표"/>
      <sheetName val="3-1. 통신노임표"/>
      <sheetName val="요약전"/>
      <sheetName val="Sheet1"/>
      <sheetName val="Sheet2"/>
      <sheetName val="Sheet3"/>
      <sheetName val="1. 공사설명서"/>
      <sheetName val="2. 공사계획서"/>
      <sheetName val="3.공사시방서"/>
      <sheetName val="4. 품질"/>
      <sheetName val="5. 공정"/>
      <sheetName val="6. 공사비예산서"/>
      <sheetName val="7. 설계명세서"/>
      <sheetName val="8.품샘표"/>
      <sheetName val="9. 수량계산서"/>
      <sheetName val="10. 02(하)노임"/>
      <sheetName val="11.구매시방서"/>
      <sheetName val="간지"/>
      <sheetName val="2.청구내역 "/>
      <sheetName val="2.산출내역"/>
      <sheetName val="산출내역"/>
      <sheetName val="3설비현황"/>
      <sheetName val="OPGW현황"/>
      <sheetName val="비금속"/>
      <sheetName val="종합"/>
      <sheetName val="노임단가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 refreshError="1"/>
    </sheetDataSet>
  </externalBook>
</externalLink>
</file>

<file path=xl/externalLinks/externalLink53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xxxxxx"/>
      <sheetName val="사업소예산총괄"/>
      <sheetName val="주자재(단말국)"/>
      <sheetName val="주자재(집중국)"/>
      <sheetName val="공사비개략산출표지"/>
      <sheetName val="일위대가"/>
      <sheetName val="20_10_100"/>
      <sheetName val="20_10_150"/>
      <sheetName val="26_12_150 "/>
      <sheetName val="24_8_100"/>
      <sheetName val="30_4_260"/>
      <sheetName val="36_10_190"/>
      <sheetName val="경기지사Toll국"/>
      <sheetName val="서울전력Toll국"/>
      <sheetName val="2002상반기노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4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원본(갑지)"/>
      <sheetName val="원본(을지)"/>
      <sheetName val="제조원가계산서(갑지)"/>
      <sheetName val="제조원가계산서(을지)"/>
      <sheetName val="가격산출내역서"/>
      <sheetName val="신광"/>
      <sheetName val="제조원가계산서갑지(신광,대신,동광)"/>
      <sheetName val="제조원가계산서(을)"/>
      <sheetName val="동광"/>
      <sheetName val="대신"/>
      <sheetName val="견적서표본"/>
      <sheetName val="제조원가계산서+가격산출내역서(원본)"/>
      <sheetName val="PLT8500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5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VXXXXX"/>
      <sheetName val="설계제원"/>
      <sheetName val="표지"/>
      <sheetName val="DB총괄표(총괄)"/>
      <sheetName val="일위대가"/>
      <sheetName val="산출근거1"/>
      <sheetName val="산출근거2"/>
      <sheetName val="성과심사"/>
      <sheetName val="노임단가"/>
      <sheetName val="재료비단가"/>
      <sheetName val="기계경비"/>
      <sheetName val="여비규정"/>
      <sheetName val="원본(갑지)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externalLinks/externalLink56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Module1"/>
      <sheetName val="지시서"/>
      <sheetName val="지시서(보관)"/>
      <sheetName val="계통도"/>
      <sheetName val="피스표"/>
      <sheetName val="소요자재명세서"/>
      <sheetName val="노무비명세서"/>
      <sheetName val="기안"/>
      <sheetName val="공사설명서"/>
      <sheetName val="공사계획서"/>
      <sheetName val="공사비예산서"/>
      <sheetName val="설계명세서(선로)"/>
      <sheetName val="기본요율"/>
      <sheetName val="cost980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57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설계서"/>
      <sheetName val="원가계산서"/>
      <sheetName val="설계내역서"/>
      <sheetName val="일위대가"/>
      <sheetName val="일위산출"/>
      <sheetName val="자재단가"/>
      <sheetName val="노임단가"/>
      <sheetName val="수량산출 (2)"/>
    </sheetNames>
    <sheetDataSet>
      <sheetData sheetId="0" refreshError="1"/>
      <sheetData sheetId="1" refreshError="1"/>
      <sheetData sheetId="2" refreshError="1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58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기안"/>
      <sheetName val="공사설명서"/>
      <sheetName val="계통도"/>
      <sheetName val="공사계획서"/>
      <sheetName val="공사비예산서"/>
      <sheetName val="전체"/>
      <sheetName val="강릉"/>
      <sheetName val="남서울"/>
      <sheetName val="우주"/>
      <sheetName val="서해"/>
      <sheetName val="설계명세서(장비)"/>
      <sheetName val="기별(종합)"/>
      <sheetName val="투자효율분석"/>
      <sheetName val="케이블피스표"/>
      <sheetName val="공사지시서(감독)"/>
      <sheetName val="공사지시서(시공)"/>
      <sheetName val="구매요청서"/>
      <sheetName val="cost98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9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****_x0000_ÿ"/>
      <sheetName val="laroux"/>
      <sheetName val="공사설명서"/>
      <sheetName val="지입재료구입내역서"/>
      <sheetName val="재료비산출자료"/>
      <sheetName val="인부사역계획표"/>
      <sheetName val="노무비"/>
      <sheetName val="테이블표"/>
      <sheetName val="내역서"/>
    </sheet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.57"/>
    <col customWidth="1" min="2" max="2" width="10.57"/>
    <col customWidth="1" min="3" max="3" width="15.57"/>
    <col customWidth="1" min="4" max="4" width="57.57"/>
    <col customWidth="1" min="5" max="6" width="10.57"/>
    <col customWidth="1" min="7" max="26" width="8.71"/>
  </cols>
  <sheetData>
    <row r="1" ht="13.5" customHeight="1"/>
    <row r="2" ht="13.5" customHeight="1">
      <c r="B2" s="1" t="s">
        <v>0</v>
      </c>
      <c r="C2" s="2"/>
      <c r="D2" s="2"/>
      <c r="E2" s="2"/>
      <c r="F2" s="3"/>
    </row>
    <row r="3" ht="13.5" customHeight="1">
      <c r="B3" s="4"/>
      <c r="C3" s="5"/>
      <c r="D3" s="5"/>
      <c r="E3" s="6"/>
      <c r="F3" s="7"/>
    </row>
    <row r="4" ht="13.5" customHeight="1">
      <c r="B4" s="8" t="s">
        <v>1</v>
      </c>
      <c r="C4" s="8" t="s">
        <v>2</v>
      </c>
      <c r="D4" s="8" t="s">
        <v>3</v>
      </c>
      <c r="E4" s="9" t="s">
        <v>4</v>
      </c>
      <c r="F4" s="10" t="s">
        <v>5</v>
      </c>
    </row>
    <row r="5" ht="13.5" customHeight="1">
      <c r="B5" s="11"/>
      <c r="C5" s="12"/>
      <c r="D5" s="13"/>
      <c r="E5" s="11"/>
      <c r="F5" s="12"/>
    </row>
    <row r="6" ht="13.5" customHeight="1">
      <c r="B6" s="11"/>
      <c r="C6" s="12"/>
      <c r="D6" s="13"/>
      <c r="E6" s="11"/>
      <c r="F6" s="12"/>
    </row>
    <row r="7" ht="13.5" customHeight="1">
      <c r="B7" s="11"/>
      <c r="C7" s="12"/>
      <c r="D7" s="13"/>
      <c r="E7" s="11"/>
      <c r="F7" s="12"/>
    </row>
    <row r="8" ht="13.5" customHeight="1">
      <c r="B8" s="11"/>
      <c r="C8" s="12"/>
      <c r="D8" s="13"/>
      <c r="E8" s="11"/>
      <c r="F8" s="12"/>
    </row>
    <row r="9" ht="13.5" customHeight="1">
      <c r="B9" s="11"/>
      <c r="C9" s="12"/>
      <c r="D9" s="14"/>
      <c r="E9" s="11"/>
      <c r="F9" s="12"/>
    </row>
    <row r="10" ht="13.5" customHeight="1">
      <c r="B10" s="11"/>
      <c r="C10" s="12"/>
      <c r="D10" s="14"/>
      <c r="E10" s="11"/>
      <c r="F10" s="12"/>
    </row>
    <row r="11" ht="13.5" customHeight="1">
      <c r="B11" s="11"/>
      <c r="C11" s="12"/>
      <c r="D11" s="14"/>
      <c r="E11" s="11"/>
      <c r="F11" s="12"/>
    </row>
    <row r="12" ht="13.5" customHeight="1">
      <c r="B12" s="11"/>
      <c r="C12" s="12"/>
      <c r="D12" s="14"/>
      <c r="E12" s="11"/>
      <c r="F12" s="12"/>
    </row>
    <row r="13" ht="13.5" customHeight="1">
      <c r="B13" s="11"/>
      <c r="C13" s="12"/>
      <c r="D13" s="14"/>
      <c r="E13" s="11"/>
      <c r="F13" s="12"/>
    </row>
    <row r="14" ht="13.5" customHeight="1">
      <c r="B14" s="15"/>
      <c r="C14" s="12"/>
      <c r="D14" s="14"/>
      <c r="E14" s="11"/>
      <c r="F14" s="12"/>
    </row>
    <row r="15" ht="13.5" customHeight="1">
      <c r="B15" s="15"/>
      <c r="C15" s="16"/>
      <c r="D15" s="14"/>
      <c r="E15" s="11"/>
      <c r="F15" s="12"/>
    </row>
    <row r="16" ht="13.5" customHeight="1">
      <c r="B16" s="15"/>
      <c r="C16" s="16"/>
      <c r="D16" s="14"/>
      <c r="E16" s="11"/>
      <c r="F16" s="12"/>
    </row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">
    <mergeCell ref="B2:F2"/>
  </mergeCells>
  <printOptions/>
  <pageMargins bottom="0.7480314960629921" footer="0.0" header="0.0" left="0.7086614173228347" right="0.7086614173228347" top="0.7480314960629921"/>
  <pageSetup paperSize="9" scale="8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.57"/>
    <col customWidth="1" min="2" max="2" width="9.86"/>
    <col customWidth="1" min="3" max="3" width="18.71"/>
    <col customWidth="1" min="4" max="4" width="14.43"/>
    <col customWidth="1" min="5" max="5" width="12.57"/>
    <col customWidth="1" min="6" max="6" width="10.86"/>
    <col customWidth="1" min="7" max="7" width="15.29"/>
    <col customWidth="1" min="8" max="8" width="0.43"/>
    <col customWidth="1" min="9" max="9" width="14.0"/>
    <col customWidth="1" min="10" max="10" width="25.29"/>
    <col customWidth="1" min="12" max="12" width="17.0"/>
    <col customWidth="1" min="13" max="13" width="13.14"/>
    <col customWidth="1" min="14" max="14" width="20.14"/>
    <col customWidth="1" min="15" max="15" width="17.43"/>
    <col customWidth="1" min="17" max="17" width="14.0"/>
    <col customWidth="1" min="18" max="27" width="10.0"/>
  </cols>
  <sheetData>
    <row r="1" ht="5.25" customHeight="1">
      <c r="A1" s="17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8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</row>
    <row r="2" ht="41.25" customHeight="1">
      <c r="A2" s="17"/>
      <c r="B2" s="19" t="s">
        <v>6</v>
      </c>
      <c r="N2" s="18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</row>
    <row r="3" ht="30.75" customHeight="1">
      <c r="A3" s="17"/>
      <c r="B3" s="19"/>
      <c r="C3" s="19"/>
      <c r="D3" s="19"/>
      <c r="E3" s="19"/>
      <c r="F3" s="19"/>
      <c r="G3" s="19"/>
      <c r="H3" s="19"/>
      <c r="I3" s="19"/>
      <c r="J3" s="19"/>
      <c r="K3" s="19"/>
      <c r="L3" s="17"/>
      <c r="M3" s="19"/>
      <c r="N3" s="18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</row>
    <row r="4" ht="35.25" customHeight="1">
      <c r="A4" s="17"/>
      <c r="B4" s="20" t="s">
        <v>7</v>
      </c>
      <c r="C4" s="21"/>
      <c r="D4" s="21"/>
      <c r="E4" s="21"/>
      <c r="F4" s="21"/>
      <c r="G4" s="21"/>
      <c r="H4" s="22"/>
      <c r="I4" s="23"/>
      <c r="J4" s="24" t="s">
        <v>8</v>
      </c>
      <c r="K4" s="25"/>
      <c r="L4" s="25"/>
      <c r="M4" s="26"/>
      <c r="N4" s="18"/>
      <c r="O4" s="17"/>
      <c r="P4" s="2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</row>
    <row r="5" ht="35.25" customHeight="1">
      <c r="A5" s="17"/>
      <c r="B5" s="28" t="s">
        <v>9</v>
      </c>
      <c r="C5" s="29"/>
      <c r="D5" s="29"/>
      <c r="E5" s="29"/>
      <c r="F5" s="29"/>
      <c r="G5" s="29"/>
      <c r="H5" s="30"/>
      <c r="I5" s="31"/>
      <c r="J5" s="32" t="s">
        <v>10</v>
      </c>
      <c r="K5" s="33"/>
      <c r="L5" s="34" t="s">
        <v>11</v>
      </c>
      <c r="M5" s="35"/>
      <c r="N5" s="18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ht="35.25" customHeight="1">
      <c r="A6" s="17"/>
      <c r="B6" s="36" t="str">
        <f>TEXT("건      명 : ",C11)&amp;TEXT(C11,1)</f>
        <v>건      명 : USCP 플랫폼 구축 및 3년차 유지보수비 산정</v>
      </c>
      <c r="C6" s="29"/>
      <c r="D6" s="29"/>
      <c r="E6" s="29"/>
      <c r="F6" s="29"/>
      <c r="G6" s="29"/>
      <c r="H6" s="30"/>
      <c r="I6" s="31"/>
      <c r="J6" s="34" t="s">
        <v>12</v>
      </c>
      <c r="K6" s="37"/>
      <c r="L6" s="37"/>
      <c r="M6" s="35"/>
      <c r="N6" s="18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ht="35.25" customHeight="1">
      <c r="A7" s="17"/>
      <c r="B7" s="38" t="s">
        <v>13</v>
      </c>
      <c r="C7" s="29"/>
      <c r="D7" s="29"/>
      <c r="E7" s="29"/>
      <c r="F7" s="29"/>
      <c r="G7" s="29"/>
      <c r="H7" s="30"/>
      <c r="I7" s="31"/>
      <c r="J7" s="34" t="s">
        <v>14</v>
      </c>
      <c r="K7" s="33"/>
      <c r="L7" s="34" t="s">
        <v>15</v>
      </c>
      <c r="M7" s="35"/>
      <c r="N7" s="18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ht="35.25" customHeight="1">
      <c r="A8" s="17"/>
      <c r="B8" s="39" t="s">
        <v>16</v>
      </c>
      <c r="C8" s="40"/>
      <c r="D8" s="40"/>
      <c r="E8" s="40"/>
      <c r="F8" s="40"/>
      <c r="G8" s="40"/>
      <c r="H8" s="41"/>
      <c r="I8" s="42"/>
      <c r="J8" s="43" t="s">
        <v>17</v>
      </c>
      <c r="K8" s="44"/>
      <c r="L8" s="43" t="s">
        <v>18</v>
      </c>
      <c r="M8" s="45"/>
      <c r="N8" s="18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ht="30.0" customHeight="1">
      <c r="A9" s="17"/>
      <c r="B9" s="46" t="s">
        <v>19</v>
      </c>
      <c r="C9" s="47"/>
      <c r="D9" s="48"/>
      <c r="E9" s="48"/>
      <c r="F9" s="48"/>
      <c r="G9" s="48"/>
      <c r="H9" s="48"/>
      <c r="I9" s="48"/>
      <c r="J9" s="48"/>
      <c r="K9" s="48"/>
      <c r="L9" s="48"/>
      <c r="M9" s="48"/>
      <c r="N9" s="18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ht="30.0" customHeight="1">
      <c r="A10" s="49"/>
      <c r="B10" s="50" t="s">
        <v>20</v>
      </c>
      <c r="C10" s="51" t="s">
        <v>21</v>
      </c>
      <c r="D10" s="52"/>
      <c r="E10" s="52"/>
      <c r="F10" s="52"/>
      <c r="G10" s="52"/>
      <c r="H10" s="53"/>
      <c r="I10" s="54" t="s">
        <v>22</v>
      </c>
      <c r="J10" s="55" t="s">
        <v>23</v>
      </c>
      <c r="K10" s="51" t="s">
        <v>24</v>
      </c>
      <c r="L10" s="53"/>
      <c r="M10" s="56" t="s">
        <v>25</v>
      </c>
      <c r="N10" s="57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</row>
    <row r="11" ht="30.0" customHeight="1">
      <c r="A11" s="58"/>
      <c r="B11" s="59" t="s">
        <v>26</v>
      </c>
      <c r="C11" s="60" t="s">
        <v>27</v>
      </c>
      <c r="D11" s="61"/>
      <c r="E11" s="61"/>
      <c r="F11" s="61"/>
      <c r="G11" s="61"/>
      <c r="H11" s="61"/>
      <c r="I11" s="61"/>
      <c r="J11" s="61"/>
      <c r="K11" s="61"/>
      <c r="L11" s="61"/>
      <c r="M11" s="62"/>
      <c r="N11" s="63"/>
      <c r="O11" s="63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</row>
    <row r="12" ht="75.75" customHeight="1">
      <c r="A12" s="58"/>
      <c r="B12" s="59">
        <v>1.0</v>
      </c>
      <c r="C12" s="64" t="s">
        <v>28</v>
      </c>
      <c r="D12" s="65" t="s">
        <v>29</v>
      </c>
      <c r="E12" s="61"/>
      <c r="F12" s="61"/>
      <c r="G12" s="61"/>
      <c r="H12" s="62"/>
      <c r="I12" s="59">
        <v>1.5</v>
      </c>
      <c r="J12" s="66">
        <v>4000000.0</v>
      </c>
      <c r="K12" s="67">
        <f t="shared" ref="K12:K22" si="1">I12*J12</f>
        <v>6000000</v>
      </c>
      <c r="L12" s="62"/>
      <c r="M12" s="64" t="s">
        <v>30</v>
      </c>
      <c r="N12" s="63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</row>
    <row r="13">
      <c r="A13" s="68"/>
      <c r="B13" s="69">
        <v>2.0</v>
      </c>
      <c r="C13" s="64" t="s">
        <v>31</v>
      </c>
      <c r="D13" s="70" t="s">
        <v>32</v>
      </c>
      <c r="E13" s="61"/>
      <c r="F13" s="61"/>
      <c r="G13" s="61"/>
      <c r="H13" s="62"/>
      <c r="I13" s="59">
        <v>0.7</v>
      </c>
      <c r="J13" s="71">
        <v>3500000.0</v>
      </c>
      <c r="K13" s="67">
        <f t="shared" si="1"/>
        <v>2450000</v>
      </c>
      <c r="L13" s="62"/>
      <c r="M13" s="72" t="s">
        <v>33</v>
      </c>
      <c r="N13" s="73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ht="75.75" customHeight="1">
      <c r="A14" s="68"/>
      <c r="B14" s="69">
        <v>3.0</v>
      </c>
      <c r="C14" s="64" t="s">
        <v>31</v>
      </c>
      <c r="D14" s="70" t="s">
        <v>34</v>
      </c>
      <c r="E14" s="61"/>
      <c r="F14" s="61"/>
      <c r="G14" s="61"/>
      <c r="H14" s="62"/>
      <c r="I14" s="59">
        <v>1.8</v>
      </c>
      <c r="J14" s="71">
        <v>3500000.0</v>
      </c>
      <c r="K14" s="67">
        <f t="shared" si="1"/>
        <v>6300000</v>
      </c>
      <c r="L14" s="62"/>
      <c r="M14" s="72" t="s">
        <v>33</v>
      </c>
      <c r="N14" s="73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</row>
    <row r="15" ht="75.75" customHeight="1">
      <c r="A15" s="68"/>
      <c r="B15" s="69">
        <v>4.0</v>
      </c>
      <c r="C15" s="64" t="s">
        <v>31</v>
      </c>
      <c r="D15" s="70" t="s">
        <v>35</v>
      </c>
      <c r="E15" s="61"/>
      <c r="F15" s="61"/>
      <c r="G15" s="61"/>
      <c r="H15" s="62"/>
      <c r="I15" s="59">
        <v>1.4</v>
      </c>
      <c r="J15" s="71">
        <v>3500000.0</v>
      </c>
      <c r="K15" s="67">
        <f t="shared" si="1"/>
        <v>4900000</v>
      </c>
      <c r="L15" s="62"/>
      <c r="M15" s="72" t="s">
        <v>33</v>
      </c>
      <c r="N15" s="73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</row>
    <row r="16" ht="75.75" customHeight="1">
      <c r="A16" s="58"/>
      <c r="B16" s="69">
        <v>5.0</v>
      </c>
      <c r="C16" s="64" t="s">
        <v>31</v>
      </c>
      <c r="D16" s="65" t="s">
        <v>36</v>
      </c>
      <c r="E16" s="61"/>
      <c r="F16" s="61"/>
      <c r="G16" s="61"/>
      <c r="H16" s="62"/>
      <c r="I16" s="59">
        <v>0.8</v>
      </c>
      <c r="J16" s="71">
        <v>3500000.0</v>
      </c>
      <c r="K16" s="67">
        <f t="shared" si="1"/>
        <v>2800000</v>
      </c>
      <c r="L16" s="62"/>
      <c r="M16" s="72" t="s">
        <v>33</v>
      </c>
      <c r="N16" s="63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</row>
    <row r="17">
      <c r="A17" s="17"/>
      <c r="B17" s="69">
        <v>6.0</v>
      </c>
      <c r="C17" s="64" t="s">
        <v>31</v>
      </c>
      <c r="D17" s="65" t="s">
        <v>37</v>
      </c>
      <c r="E17" s="61"/>
      <c r="F17" s="61"/>
      <c r="G17" s="61"/>
      <c r="H17" s="62"/>
      <c r="I17" s="59">
        <v>0.4</v>
      </c>
      <c r="J17" s="71">
        <v>3500000.0</v>
      </c>
      <c r="K17" s="67">
        <f t="shared" si="1"/>
        <v>1400000</v>
      </c>
      <c r="L17" s="62"/>
      <c r="M17" s="72" t="s">
        <v>33</v>
      </c>
      <c r="N17" s="18"/>
      <c r="O17" s="18"/>
      <c r="P17" s="17"/>
      <c r="Q17" s="18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>
      <c r="A18" s="74"/>
      <c r="B18" s="75">
        <v>7.0</v>
      </c>
      <c r="C18" s="64" t="s">
        <v>31</v>
      </c>
      <c r="D18" s="76" t="s">
        <v>38</v>
      </c>
      <c r="E18" s="61"/>
      <c r="F18" s="61"/>
      <c r="G18" s="61"/>
      <c r="H18" s="62"/>
      <c r="I18" s="75">
        <v>0.5</v>
      </c>
      <c r="J18" s="71">
        <v>3500000.0</v>
      </c>
      <c r="K18" s="77">
        <f t="shared" si="1"/>
        <v>1750000</v>
      </c>
      <c r="L18" s="62"/>
      <c r="M18" s="78" t="s">
        <v>39</v>
      </c>
      <c r="N18" s="79"/>
      <c r="O18" s="79"/>
      <c r="P18" s="74"/>
      <c r="Q18" s="79"/>
      <c r="R18" s="74"/>
      <c r="S18" s="74"/>
      <c r="T18" s="74"/>
      <c r="U18" s="74"/>
      <c r="V18" s="74"/>
      <c r="W18" s="74"/>
      <c r="X18" s="74"/>
      <c r="Y18" s="74"/>
      <c r="Z18" s="74"/>
      <c r="AA18" s="74"/>
    </row>
    <row r="19">
      <c r="A19" s="74"/>
      <c r="B19" s="80">
        <v>8.0</v>
      </c>
      <c r="C19" s="64" t="s">
        <v>31</v>
      </c>
      <c r="D19" s="81" t="s">
        <v>40</v>
      </c>
      <c r="E19" s="61"/>
      <c r="F19" s="61"/>
      <c r="G19" s="61"/>
      <c r="H19" s="62"/>
      <c r="I19" s="80">
        <v>1.2</v>
      </c>
      <c r="J19" s="71">
        <v>3500000.0</v>
      </c>
      <c r="K19" s="77">
        <f t="shared" si="1"/>
        <v>4200000</v>
      </c>
      <c r="L19" s="62"/>
      <c r="M19" s="78" t="s">
        <v>39</v>
      </c>
      <c r="N19" s="79"/>
      <c r="O19" s="79"/>
      <c r="P19" s="74"/>
      <c r="Q19" s="79"/>
      <c r="R19" s="74"/>
      <c r="S19" s="74"/>
      <c r="T19" s="74"/>
      <c r="U19" s="74"/>
      <c r="V19" s="74"/>
      <c r="W19" s="74"/>
      <c r="X19" s="74"/>
      <c r="Y19" s="74"/>
      <c r="Z19" s="74"/>
      <c r="AA19" s="74"/>
    </row>
    <row r="20">
      <c r="A20" s="17"/>
      <c r="B20" s="59">
        <v>9.0</v>
      </c>
      <c r="C20" s="64" t="s">
        <v>31</v>
      </c>
      <c r="D20" s="82" t="s">
        <v>41</v>
      </c>
      <c r="E20" s="61"/>
      <c r="F20" s="61"/>
      <c r="G20" s="61"/>
      <c r="H20" s="62"/>
      <c r="I20" s="59">
        <v>0.3</v>
      </c>
      <c r="J20" s="71">
        <v>3500000.0</v>
      </c>
      <c r="K20" s="67">
        <f t="shared" si="1"/>
        <v>1050000</v>
      </c>
      <c r="L20" s="62"/>
      <c r="M20" s="78" t="s">
        <v>39</v>
      </c>
      <c r="N20" s="18"/>
      <c r="O20" s="18"/>
      <c r="P20" s="17"/>
      <c r="Q20" s="18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>
      <c r="A21" s="74"/>
      <c r="B21" s="80">
        <v>10.0</v>
      </c>
      <c r="C21" s="64" t="s">
        <v>31</v>
      </c>
      <c r="D21" s="81" t="s">
        <v>42</v>
      </c>
      <c r="E21" s="61"/>
      <c r="F21" s="61"/>
      <c r="G21" s="61"/>
      <c r="H21" s="62"/>
      <c r="I21" s="80">
        <v>0.9</v>
      </c>
      <c r="J21" s="71">
        <v>3500000.0</v>
      </c>
      <c r="K21" s="77">
        <f t="shared" si="1"/>
        <v>3150000</v>
      </c>
      <c r="L21" s="62"/>
      <c r="M21" s="78" t="s">
        <v>43</v>
      </c>
      <c r="N21" s="79"/>
      <c r="O21" s="79"/>
      <c r="P21" s="74"/>
      <c r="Q21" s="79"/>
      <c r="R21" s="74"/>
      <c r="S21" s="74"/>
      <c r="T21" s="74"/>
      <c r="U21" s="74"/>
      <c r="V21" s="74"/>
      <c r="W21" s="74"/>
      <c r="X21" s="74"/>
      <c r="Y21" s="74"/>
      <c r="Z21" s="74"/>
      <c r="AA21" s="74"/>
    </row>
    <row r="22" ht="30.75" customHeight="1">
      <c r="A22" s="17"/>
      <c r="B22" s="59">
        <v>11.0</v>
      </c>
      <c r="C22" s="64" t="s">
        <v>44</v>
      </c>
      <c r="D22" s="82" t="s">
        <v>45</v>
      </c>
      <c r="E22" s="61"/>
      <c r="F22" s="61"/>
      <c r="G22" s="61"/>
      <c r="H22" s="62"/>
      <c r="I22" s="59">
        <v>1.0</v>
      </c>
      <c r="J22" s="66">
        <v>4000000.0</v>
      </c>
      <c r="K22" s="67">
        <f t="shared" si="1"/>
        <v>4000000</v>
      </c>
      <c r="L22" s="62"/>
      <c r="M22" s="72" t="s">
        <v>43</v>
      </c>
      <c r="N22" s="18"/>
      <c r="O22" s="18"/>
      <c r="P22" s="17"/>
      <c r="Q22" s="18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ht="35.25" customHeight="1">
      <c r="A23" s="17"/>
      <c r="B23" s="59" t="s">
        <v>46</v>
      </c>
      <c r="C23" s="64" t="s">
        <v>47</v>
      </c>
      <c r="D23" s="82" t="s">
        <v>48</v>
      </c>
      <c r="E23" s="61"/>
      <c r="F23" s="61"/>
      <c r="G23" s="61"/>
      <c r="H23" s="62"/>
      <c r="I23" s="69">
        <f>sum( I12:I22)</f>
        <v>10.5</v>
      </c>
      <c r="J23" s="66"/>
      <c r="K23" s="67">
        <f>sum( K12:L22)</f>
        <v>38000000</v>
      </c>
      <c r="L23" s="62"/>
      <c r="M23" s="83"/>
      <c r="N23" s="18"/>
      <c r="O23" s="18"/>
      <c r="P23" s="17"/>
      <c r="Q23" s="18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ht="33.0" customHeight="1">
      <c r="A24" s="17"/>
      <c r="B24" s="59">
        <v>12.0</v>
      </c>
      <c r="C24" s="64" t="s">
        <v>49</v>
      </c>
      <c r="D24" s="82" t="s">
        <v>50</v>
      </c>
      <c r="E24" s="61"/>
      <c r="F24" s="61"/>
      <c r="G24" s="61"/>
      <c r="H24" s="62"/>
      <c r="I24" s="59">
        <v>0.0</v>
      </c>
      <c r="J24" s="71">
        <v>0.0</v>
      </c>
      <c r="K24" s="67">
        <f t="shared" ref="K24:K26" si="2">I24*J24</f>
        <v>0</v>
      </c>
      <c r="L24" s="62"/>
      <c r="M24" s="83"/>
      <c r="N24" s="18"/>
      <c r="O24" s="18"/>
      <c r="P24" s="17"/>
      <c r="Q24" s="18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ht="30.0" customHeight="1">
      <c r="A25" s="17"/>
      <c r="B25" s="59">
        <v>13.0</v>
      </c>
      <c r="C25" s="64" t="s">
        <v>51</v>
      </c>
      <c r="D25" s="82" t="s">
        <v>52</v>
      </c>
      <c r="E25" s="61"/>
      <c r="F25" s="61"/>
      <c r="G25" s="61"/>
      <c r="H25" s="62"/>
      <c r="I25" s="59">
        <v>1.2</v>
      </c>
      <c r="J25" s="71">
        <v>5000000.0</v>
      </c>
      <c r="K25" s="67">
        <f t="shared" si="2"/>
        <v>6000000</v>
      </c>
      <c r="L25" s="62"/>
      <c r="M25" s="83"/>
      <c r="N25" s="18"/>
      <c r="O25" s="18"/>
      <c r="P25" s="17"/>
      <c r="Q25" s="18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ht="34.5" customHeight="1">
      <c r="A26" s="17"/>
      <c r="B26" s="59">
        <v>14.0</v>
      </c>
      <c r="C26" s="64" t="s">
        <v>53</v>
      </c>
      <c r="D26" s="82" t="s">
        <v>52</v>
      </c>
      <c r="E26" s="61"/>
      <c r="F26" s="61"/>
      <c r="G26" s="61"/>
      <c r="H26" s="62"/>
      <c r="I26" s="59">
        <v>1.2</v>
      </c>
      <c r="J26" s="71">
        <v>5000000.0</v>
      </c>
      <c r="K26" s="67">
        <f t="shared" si="2"/>
        <v>6000000</v>
      </c>
      <c r="L26" s="62"/>
      <c r="M26" s="83"/>
      <c r="N26" s="18"/>
      <c r="O26" s="18"/>
      <c r="P26" s="17"/>
      <c r="Q26" s="18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ht="33.75" customHeight="1">
      <c r="A27" s="17"/>
      <c r="B27" s="59" t="s">
        <v>46</v>
      </c>
      <c r="C27" s="64" t="s">
        <v>54</v>
      </c>
      <c r="D27" s="82"/>
      <c r="E27" s="61"/>
      <c r="F27" s="61"/>
      <c r="G27" s="61"/>
      <c r="H27" s="62"/>
      <c r="I27" s="69">
        <f>sum( I25:I26)</f>
        <v>2.4</v>
      </c>
      <c r="J27" s="66"/>
      <c r="K27" s="67">
        <f>sum( K25:K26)</f>
        <v>12000000</v>
      </c>
      <c r="L27" s="62"/>
      <c r="M27" s="83"/>
      <c r="N27" s="18"/>
      <c r="O27" s="18"/>
      <c r="P27" s="17"/>
      <c r="Q27" s="18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ht="35.25" customHeight="1">
      <c r="A28" s="17"/>
      <c r="B28" s="59" t="s">
        <v>46</v>
      </c>
      <c r="C28" s="64" t="s">
        <v>55</v>
      </c>
      <c r="D28" s="82" t="s">
        <v>56</v>
      </c>
      <c r="E28" s="61"/>
      <c r="F28" s="61"/>
      <c r="G28" s="61"/>
      <c r="H28" s="62"/>
      <c r="I28" s="69">
        <f>sum( I23, I27)</f>
        <v>12.9</v>
      </c>
      <c r="J28" s="66"/>
      <c r="K28" s="67">
        <f>sum( K23, K27)</f>
        <v>50000000</v>
      </c>
      <c r="L28" s="62"/>
      <c r="M28" s="83"/>
      <c r="N28" s="18"/>
      <c r="O28" s="18"/>
      <c r="P28" s="17"/>
      <c r="Q28" s="18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ht="33.75" customHeight="1">
      <c r="A29" s="17"/>
      <c r="B29" s="59" t="s">
        <v>46</v>
      </c>
      <c r="C29" s="64" t="s">
        <v>57</v>
      </c>
      <c r="D29" s="82" t="s">
        <v>45</v>
      </c>
      <c r="E29" s="61"/>
      <c r="F29" s="61"/>
      <c r="G29" s="61"/>
      <c r="H29" s="62"/>
      <c r="I29" s="59">
        <v>1.0</v>
      </c>
      <c r="J29" s="71">
        <v>5000000.0</v>
      </c>
      <c r="K29" s="67">
        <f>I29*J29</f>
        <v>5000000</v>
      </c>
      <c r="L29" s="62"/>
      <c r="M29" s="83"/>
      <c r="N29" s="18"/>
      <c r="O29" s="18"/>
      <c r="P29" s="17"/>
      <c r="Q29" s="18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ht="30.0" customHeight="1">
      <c r="A30" s="17"/>
      <c r="B30" s="84" t="s">
        <v>58</v>
      </c>
      <c r="C30" s="82" t="s">
        <v>59</v>
      </c>
      <c r="D30" s="61"/>
      <c r="E30" s="61"/>
      <c r="F30" s="61"/>
      <c r="G30" s="61"/>
      <c r="H30" s="61"/>
      <c r="I30" s="61"/>
      <c r="J30" s="62"/>
      <c r="K30" s="85">
        <f>SUM(K28:L29)</f>
        <v>55000000</v>
      </c>
      <c r="L30" s="62"/>
      <c r="M30" s="86"/>
      <c r="N30" s="18"/>
      <c r="O30" s="18"/>
      <c r="P30" s="17"/>
      <c r="Q30" s="18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ht="16.5" customHeight="1">
      <c r="A31" s="17"/>
      <c r="B31" s="17"/>
      <c r="C31" s="18"/>
      <c r="D31" s="18"/>
      <c r="E31" s="18"/>
      <c r="F31" s="17"/>
      <c r="G31" s="17"/>
      <c r="H31" s="17"/>
      <c r="I31" s="17"/>
      <c r="J31" s="17"/>
      <c r="K31" s="17"/>
      <c r="L31" s="17"/>
      <c r="M31" s="17"/>
      <c r="N31" s="18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ht="16.5" customHeight="1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87" t="s">
        <v>60</v>
      </c>
      <c r="N32" s="18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ht="16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8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ht="16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8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ht="16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8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ht="16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8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ht="16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8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ht="16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8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ht="16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8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ht="16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8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ht="16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8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ht="16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8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ht="16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8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</row>
    <row r="44" ht="16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8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ht="16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8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ht="16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8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ht="16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8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ht="16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8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ht="16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8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ht="16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8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ht="16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8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ht="16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8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ht="16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8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ht="16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8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ht="16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8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ht="16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8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ht="16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8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ht="16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8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ht="16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8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ht="16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8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ht="16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8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ht="16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8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ht="16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8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ht="16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8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ht="16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8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ht="16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8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ht="16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8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ht="16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8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ht="16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8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ht="16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8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ht="16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8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ht="16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8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ht="16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8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ht="16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8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ht="16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8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ht="16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8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ht="16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8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ht="16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8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ht="16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8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ht="16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8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ht="16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8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ht="16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8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ht="16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8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ht="16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8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ht="16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8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ht="16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8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ht="16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8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  <row r="88" ht="16.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8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</row>
    <row r="89" ht="16.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8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</row>
    <row r="90" ht="16.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8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</row>
    <row r="91" ht="16.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8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</row>
    <row r="92" ht="16.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8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</row>
    <row r="93" ht="16.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8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</row>
    <row r="94" ht="16.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8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</row>
    <row r="95" ht="16.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8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</row>
    <row r="96" ht="16.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8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</row>
    <row r="97" ht="16.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8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</row>
    <row r="98" ht="16.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8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</row>
    <row r="99" ht="16.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8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</row>
    <row r="100" ht="16.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8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</row>
    <row r="101" ht="16.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8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</row>
    <row r="102" ht="16.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8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</row>
    <row r="103" ht="16.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8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</row>
    <row r="104" ht="16.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8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</row>
    <row r="105" ht="16.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8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</row>
    <row r="106" ht="16.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8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</row>
    <row r="107" ht="16.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8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</row>
    <row r="108" ht="16.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8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</row>
    <row r="109" ht="16.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8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</row>
    <row r="110" ht="16.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8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</row>
    <row r="111" ht="16.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8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</row>
    <row r="112" ht="16.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8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</row>
    <row r="113" ht="16.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8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</row>
    <row r="114" ht="16.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8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</row>
    <row r="115" ht="16.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8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</row>
    <row r="116" ht="16.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8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</row>
    <row r="117" ht="16.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8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</row>
    <row r="118" ht="16.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8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</row>
    <row r="119" ht="16.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8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</row>
    <row r="120" ht="16.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8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</row>
    <row r="121" ht="16.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8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</row>
    <row r="122" ht="16.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8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</row>
    <row r="123" ht="16.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8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</row>
    <row r="124" ht="16.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8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</row>
    <row r="125" ht="16.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8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</row>
    <row r="126" ht="16.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8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</row>
    <row r="127" ht="16.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8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</row>
    <row r="128" ht="16.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8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</row>
    <row r="129" ht="16.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8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</row>
    <row r="130" ht="16.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8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</row>
    <row r="131" ht="16.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8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</row>
    <row r="132" ht="16.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8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</row>
    <row r="133" ht="16.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8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</row>
    <row r="134" ht="16.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8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</row>
    <row r="135" ht="16.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8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</row>
    <row r="136" ht="16.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8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</row>
    <row r="137" ht="16.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8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</row>
    <row r="138" ht="16.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8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</row>
    <row r="139" ht="16.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8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</row>
    <row r="140" ht="16.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8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</row>
    <row r="141" ht="16.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8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</row>
    <row r="142" ht="16.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8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</row>
    <row r="143" ht="16.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8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</row>
    <row r="144" ht="16.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8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</row>
    <row r="145" ht="16.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8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</row>
    <row r="146" ht="16.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8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</row>
    <row r="147" ht="16.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8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</row>
    <row r="148" ht="16.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8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</row>
    <row r="149" ht="16.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8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</row>
    <row r="150" ht="16.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8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</row>
    <row r="151" ht="16.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8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</row>
    <row r="152" ht="16.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8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</row>
    <row r="153" ht="16.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8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</row>
    <row r="154" ht="16.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8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</row>
    <row r="155" ht="16.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8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</row>
    <row r="156" ht="16.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8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</row>
    <row r="157" ht="16.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8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</row>
    <row r="158" ht="16.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8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</row>
    <row r="159" ht="16.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8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</row>
    <row r="160" ht="16.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8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</row>
    <row r="161" ht="16.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8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</row>
    <row r="162" ht="16.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8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</row>
    <row r="163" ht="16.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8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</row>
    <row r="164" ht="16.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8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</row>
    <row r="165" ht="16.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8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</row>
    <row r="166" ht="16.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8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</row>
    <row r="167" ht="16.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8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</row>
    <row r="168" ht="16.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8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</row>
    <row r="169" ht="16.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8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</row>
    <row r="170" ht="16.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8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</row>
    <row r="171" ht="16.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8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</row>
    <row r="172" ht="16.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8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</row>
    <row r="173" ht="16.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8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</row>
    <row r="174" ht="16.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8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</row>
    <row r="175" ht="16.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8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</row>
    <row r="176" ht="16.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8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</row>
    <row r="177" ht="16.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8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</row>
    <row r="178" ht="16.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8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</row>
    <row r="179" ht="16.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8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</row>
    <row r="180" ht="16.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8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</row>
    <row r="181" ht="16.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8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</row>
    <row r="182" ht="16.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8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</row>
    <row r="183" ht="16.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8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</row>
    <row r="184" ht="16.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8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</row>
    <row r="185" ht="16.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8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</row>
    <row r="186" ht="16.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8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</row>
    <row r="187" ht="16.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8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</row>
    <row r="188" ht="16.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8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</row>
    <row r="189" ht="16.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8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</row>
    <row r="190" ht="16.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8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</row>
    <row r="191" ht="16.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8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</row>
    <row r="192" ht="16.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8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</row>
    <row r="193" ht="16.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8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</row>
    <row r="194" ht="16.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8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</row>
    <row r="195" ht="16.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8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</row>
    <row r="196" ht="16.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8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</row>
    <row r="197" ht="16.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8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</row>
    <row r="198" ht="16.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8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</row>
    <row r="199" ht="16.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8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</row>
    <row r="200" ht="16.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8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</row>
    <row r="201" ht="16.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8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</row>
    <row r="202" ht="16.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8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</row>
    <row r="203" ht="16.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8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</row>
    <row r="204" ht="16.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8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</row>
    <row r="205" ht="16.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8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</row>
    <row r="206" ht="16.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8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</row>
    <row r="207" ht="16.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8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</row>
    <row r="208" ht="16.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8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</row>
    <row r="209" ht="16.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8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</row>
    <row r="210" ht="16.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8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</row>
    <row r="211" ht="16.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8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</row>
    <row r="212" ht="16.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8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</row>
    <row r="213" ht="16.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8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</row>
    <row r="214" ht="16.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8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</row>
    <row r="215" ht="16.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8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</row>
    <row r="216" ht="16.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8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</row>
    <row r="217" ht="16.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8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</row>
    <row r="218" ht="16.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8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</row>
    <row r="219" ht="16.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8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</row>
    <row r="220" ht="16.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8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</row>
    <row r="221" ht="16.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8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</row>
    <row r="222" ht="16.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8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</row>
    <row r="223" ht="16.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8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</row>
    <row r="224" ht="16.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8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</row>
    <row r="225" ht="16.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8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</row>
    <row r="226" ht="16.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8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</row>
    <row r="227" ht="16.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8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</row>
    <row r="228" ht="16.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8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</row>
    <row r="229" ht="16.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8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</row>
    <row r="230" ht="16.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8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</row>
    <row r="231" ht="16.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8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</row>
    <row r="232" ht="16.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8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</row>
    <row r="233" ht="16.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8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</row>
    <row r="234" ht="16.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8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</row>
    <row r="235" ht="16.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8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</row>
    <row r="236" ht="16.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8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</row>
    <row r="237" ht="16.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8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</row>
    <row r="238" ht="16.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8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</row>
    <row r="239" ht="16.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8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</row>
    <row r="240" ht="16.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8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</row>
    <row r="241" ht="16.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8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</row>
    <row r="242" ht="16.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8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</row>
    <row r="243" ht="16.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8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</row>
    <row r="244" ht="16.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8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</row>
    <row r="245" ht="16.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8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</row>
    <row r="246" ht="16.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8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</row>
    <row r="247" ht="16.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8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</row>
    <row r="248" ht="16.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8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</row>
    <row r="249" ht="16.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8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</row>
    <row r="250" ht="16.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8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</row>
    <row r="251" ht="16.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8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</row>
    <row r="252" ht="16.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8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</row>
    <row r="253" ht="16.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8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</row>
    <row r="254" ht="16.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8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</row>
    <row r="255" ht="16.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8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</row>
    <row r="256" ht="16.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8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</row>
    <row r="257" ht="16.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8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</row>
    <row r="258" ht="16.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8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</row>
    <row r="259" ht="16.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8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</row>
    <row r="260" ht="16.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8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</row>
    <row r="261" ht="16.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8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</row>
    <row r="262" ht="16.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8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</row>
    <row r="263" ht="16.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8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</row>
    <row r="264" ht="16.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8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</row>
    <row r="265" ht="16.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8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</row>
    <row r="266" ht="16.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8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</row>
    <row r="267" ht="16.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8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</row>
    <row r="268" ht="16.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8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</row>
    <row r="269" ht="16.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8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</row>
    <row r="270" ht="16.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8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</row>
    <row r="271" ht="16.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8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</row>
    <row r="272" ht="16.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8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</row>
    <row r="273" ht="16.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8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</row>
    <row r="274" ht="16.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8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</row>
    <row r="275" ht="16.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8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</row>
    <row r="276" ht="16.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8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</row>
    <row r="277" ht="16.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8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</row>
    <row r="278" ht="16.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8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</row>
    <row r="279" ht="16.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8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</row>
    <row r="280" ht="16.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8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</row>
    <row r="281" ht="16.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8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</row>
    <row r="282" ht="16.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8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</row>
    <row r="283" ht="16.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8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</row>
    <row r="284" ht="16.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8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</row>
    <row r="285" ht="16.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8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</row>
    <row r="286" ht="16.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8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</row>
    <row r="287" ht="16.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8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</row>
    <row r="288" ht="16.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8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</row>
    <row r="289" ht="16.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8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</row>
    <row r="290" ht="16.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8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</row>
    <row r="291" ht="16.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8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</row>
    <row r="292" ht="16.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8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</row>
    <row r="293" ht="16.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8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</row>
    <row r="294" ht="16.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8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</row>
    <row r="295" ht="16.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8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</row>
    <row r="296" ht="16.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8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</row>
    <row r="297" ht="16.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8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</row>
    <row r="298" ht="16.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8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</row>
    <row r="299" ht="16.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8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</row>
    <row r="300" ht="16.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8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</row>
    <row r="301" ht="16.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8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</row>
    <row r="302" ht="16.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8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</row>
    <row r="303" ht="16.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8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</row>
    <row r="304" ht="16.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8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  <c r="AA304" s="17"/>
    </row>
    <row r="305" ht="16.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8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</row>
    <row r="306" ht="16.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8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  <c r="AA306" s="17"/>
    </row>
    <row r="307" ht="16.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8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</row>
    <row r="308" ht="16.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8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</row>
    <row r="309" ht="16.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8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</row>
    <row r="310" ht="16.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8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</row>
    <row r="311" ht="16.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8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</row>
    <row r="312" ht="16.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8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</row>
    <row r="313" ht="16.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8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</row>
    <row r="314" ht="16.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8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  <c r="AA314" s="17"/>
    </row>
    <row r="315" ht="16.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8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  <c r="AA315" s="17"/>
    </row>
    <row r="316" ht="16.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8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  <c r="AA316" s="17"/>
    </row>
    <row r="317" ht="16.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8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</row>
    <row r="318" ht="16.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8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</row>
    <row r="319" ht="16.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8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</row>
    <row r="320" ht="16.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8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  <c r="AA320" s="17"/>
    </row>
    <row r="321" ht="16.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8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  <c r="AA321" s="17"/>
    </row>
    <row r="322" ht="16.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8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</row>
    <row r="323" ht="16.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8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</row>
    <row r="324" ht="16.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8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</row>
    <row r="325" ht="16.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8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  <c r="AA325" s="17"/>
    </row>
    <row r="326" ht="16.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8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</row>
    <row r="327" ht="16.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8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</row>
    <row r="328" ht="16.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8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  <c r="AA328" s="17"/>
    </row>
    <row r="329" ht="16.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8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</row>
    <row r="330" ht="16.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8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</row>
    <row r="331" ht="16.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8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</row>
    <row r="332" ht="16.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8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</row>
    <row r="333" ht="16.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8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</row>
    <row r="334" ht="16.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8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</row>
    <row r="335" ht="16.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8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</row>
    <row r="336" ht="16.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8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</row>
    <row r="337" ht="16.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8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  <c r="AA337" s="17"/>
    </row>
    <row r="338" ht="16.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8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  <c r="AA338" s="17"/>
    </row>
    <row r="339" ht="16.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8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</row>
    <row r="340" ht="16.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8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</row>
    <row r="341" ht="16.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8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</row>
    <row r="342" ht="16.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8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</row>
    <row r="343" ht="16.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8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</row>
    <row r="344" ht="16.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8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</row>
    <row r="345" ht="16.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8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</row>
    <row r="346" ht="16.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8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</row>
    <row r="347" ht="16.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8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</row>
    <row r="348" ht="16.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8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</row>
    <row r="349" ht="16.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8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  <c r="AA349" s="17"/>
    </row>
    <row r="350" ht="16.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8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</row>
    <row r="351" ht="16.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8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</row>
    <row r="352" ht="16.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8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</row>
    <row r="353" ht="16.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8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  <c r="AA353" s="17"/>
    </row>
    <row r="354" ht="16.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8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</row>
    <row r="355" ht="16.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8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</row>
    <row r="356" ht="16.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8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</row>
    <row r="357" ht="16.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8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</row>
    <row r="358" ht="16.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8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</row>
    <row r="359" ht="16.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8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</row>
    <row r="360" ht="16.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8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</row>
    <row r="361" ht="16.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8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</row>
    <row r="362" ht="16.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8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  <c r="AA362" s="17"/>
    </row>
    <row r="363" ht="16.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8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  <c r="AA363" s="17"/>
    </row>
    <row r="364" ht="16.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8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</row>
    <row r="365" ht="16.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8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</row>
    <row r="366" ht="16.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8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</row>
    <row r="367" ht="16.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8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</row>
    <row r="368" ht="16.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8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</row>
    <row r="369" ht="16.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8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</row>
    <row r="370" ht="16.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8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</row>
    <row r="371" ht="16.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8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  <c r="AA371" s="17"/>
    </row>
    <row r="372" ht="16.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8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  <c r="AA372" s="17"/>
    </row>
    <row r="373" ht="16.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8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  <c r="AA373" s="17"/>
    </row>
    <row r="374" ht="16.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8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  <c r="AA374" s="17"/>
    </row>
    <row r="375" ht="16.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8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</row>
    <row r="376" ht="16.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8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</row>
    <row r="377" ht="16.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8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</row>
    <row r="378" ht="16.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8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</row>
    <row r="379" ht="16.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8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</row>
    <row r="380" ht="16.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8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</row>
    <row r="381" ht="16.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8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</row>
    <row r="382" ht="16.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8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</row>
    <row r="383" ht="16.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8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</row>
    <row r="384" ht="16.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8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  <c r="AA384" s="17"/>
    </row>
    <row r="385" ht="16.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8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</row>
    <row r="386" ht="16.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8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</row>
    <row r="387" ht="16.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8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</row>
    <row r="388" ht="16.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8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</row>
    <row r="389" ht="16.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8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</row>
    <row r="390" ht="16.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8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  <c r="AA390" s="17"/>
    </row>
    <row r="391" ht="16.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8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</row>
    <row r="392" ht="16.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8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</row>
    <row r="393" ht="16.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8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</row>
    <row r="394" ht="16.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8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</row>
    <row r="395" ht="16.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8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</row>
    <row r="396" ht="16.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8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</row>
    <row r="397" ht="16.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8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  <c r="AA397" s="17"/>
    </row>
    <row r="398" ht="16.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8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</row>
    <row r="399" ht="16.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8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</row>
    <row r="400" ht="16.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8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</row>
    <row r="401" ht="16.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8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</row>
    <row r="402" ht="16.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8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  <c r="AA402" s="17"/>
    </row>
    <row r="403" ht="16.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8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</row>
    <row r="404" ht="16.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8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  <c r="AA404" s="17"/>
    </row>
    <row r="405" ht="16.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8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</row>
    <row r="406" ht="16.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8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</row>
    <row r="407" ht="16.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8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</row>
    <row r="408" ht="16.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8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</row>
    <row r="409" ht="16.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8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  <c r="AA409" s="17"/>
    </row>
    <row r="410" ht="16.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8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</row>
    <row r="411" ht="16.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8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  <c r="AA411" s="17"/>
    </row>
    <row r="412" ht="16.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8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  <c r="AA412" s="17"/>
    </row>
    <row r="413" ht="16.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8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</row>
    <row r="414" ht="16.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8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</row>
    <row r="415" ht="16.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8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</row>
    <row r="416" ht="16.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8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</row>
    <row r="417" ht="16.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8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</row>
    <row r="418" ht="16.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8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</row>
    <row r="419" ht="16.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8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  <c r="AA419" s="17"/>
    </row>
    <row r="420" ht="16.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8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</row>
    <row r="421" ht="16.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8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</row>
    <row r="422" ht="16.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8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  <c r="AA422" s="17"/>
    </row>
    <row r="423" ht="16.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8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</row>
    <row r="424" ht="16.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8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  <c r="AA424" s="17"/>
    </row>
    <row r="425" ht="16.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8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</row>
    <row r="426" ht="16.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8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</row>
    <row r="427" ht="16.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8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</row>
    <row r="428" ht="16.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8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</row>
    <row r="429" ht="16.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8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</row>
    <row r="430" ht="16.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8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</row>
    <row r="431" ht="16.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8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</row>
    <row r="432" ht="16.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8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</row>
    <row r="433" ht="16.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8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</row>
    <row r="434" ht="16.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8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  <c r="AA434" s="17"/>
    </row>
    <row r="435" ht="16.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8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  <c r="AA435" s="17"/>
    </row>
    <row r="436" ht="16.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8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  <c r="AA436" s="17"/>
    </row>
    <row r="437" ht="16.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8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</row>
    <row r="438" ht="16.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8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</row>
    <row r="439" ht="16.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8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</row>
    <row r="440" ht="16.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8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</row>
    <row r="441" ht="16.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8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</row>
    <row r="442" ht="16.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8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</row>
    <row r="443" ht="16.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8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</row>
    <row r="444" ht="16.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8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</row>
    <row r="445" ht="16.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8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  <c r="AA445" s="17"/>
    </row>
    <row r="446" ht="16.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8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</row>
    <row r="447" ht="16.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8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</row>
    <row r="448" ht="16.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8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</row>
    <row r="449" ht="16.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8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</row>
    <row r="450" ht="16.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8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</row>
    <row r="451" ht="16.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8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</row>
    <row r="452" ht="16.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8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  <c r="AA452" s="17"/>
    </row>
    <row r="453" ht="16.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8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</row>
    <row r="454" ht="16.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8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</row>
    <row r="455" ht="16.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8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</row>
    <row r="456" ht="16.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8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</row>
    <row r="457" ht="16.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8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</row>
    <row r="458" ht="16.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8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</row>
    <row r="459" ht="16.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8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</row>
    <row r="460" ht="16.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8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</row>
    <row r="461" ht="16.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8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</row>
    <row r="462" ht="16.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8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</row>
    <row r="463" ht="16.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8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</row>
    <row r="464" ht="16.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8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</row>
    <row r="465" ht="16.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8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</row>
    <row r="466" ht="16.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8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</row>
    <row r="467" ht="16.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8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</row>
    <row r="468" ht="16.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8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</row>
    <row r="469" ht="16.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8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  <c r="AA469" s="17"/>
    </row>
    <row r="470" ht="16.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8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  <c r="AA470" s="17"/>
    </row>
    <row r="471" ht="16.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8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  <c r="AA471" s="17"/>
    </row>
    <row r="472" ht="16.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8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</row>
    <row r="473" ht="16.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8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</row>
    <row r="474" ht="16.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8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</row>
    <row r="475" ht="16.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8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</row>
    <row r="476" ht="16.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8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</row>
    <row r="477" ht="16.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8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</row>
    <row r="478" ht="16.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8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</row>
    <row r="479" ht="16.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8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</row>
    <row r="480" ht="16.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8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  <c r="AA480" s="17"/>
    </row>
    <row r="481" ht="16.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8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</row>
    <row r="482" ht="16.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8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</row>
    <row r="483" ht="16.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8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</row>
    <row r="484" ht="16.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8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</row>
    <row r="485" ht="16.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8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</row>
    <row r="486" ht="16.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8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</row>
    <row r="487" ht="16.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8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</row>
    <row r="488" ht="16.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8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</row>
    <row r="489" ht="16.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8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</row>
    <row r="490" ht="16.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8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</row>
    <row r="491" ht="16.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8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</row>
    <row r="492" ht="16.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8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</row>
    <row r="493" ht="16.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8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</row>
    <row r="494" ht="16.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8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  <c r="AA494" s="17"/>
    </row>
    <row r="495" ht="16.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8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  <c r="AA495" s="17"/>
    </row>
    <row r="496" ht="16.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8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</row>
    <row r="497" ht="16.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8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</row>
    <row r="498" ht="16.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8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</row>
    <row r="499" ht="16.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8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</row>
    <row r="500" ht="16.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8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</row>
    <row r="501" ht="16.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8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  <c r="AA501" s="17"/>
    </row>
    <row r="502" ht="16.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8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  <c r="AA502" s="17"/>
    </row>
    <row r="503" ht="16.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8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</row>
    <row r="504" ht="16.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8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</row>
    <row r="505" ht="16.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8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</row>
    <row r="506" ht="16.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8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</row>
    <row r="507" ht="16.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8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</row>
    <row r="508" ht="16.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8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</row>
    <row r="509" ht="16.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8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</row>
    <row r="510" ht="16.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8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</row>
    <row r="511" ht="16.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8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</row>
    <row r="512" ht="16.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8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  <c r="AA512" s="17"/>
    </row>
    <row r="513" ht="16.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8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</row>
    <row r="514" ht="16.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8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</row>
    <row r="515" ht="16.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8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</row>
    <row r="516" ht="16.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8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</row>
    <row r="517" ht="16.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8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</row>
    <row r="518" ht="16.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8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</row>
    <row r="519" ht="16.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8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</row>
    <row r="520" ht="16.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8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</row>
    <row r="521" ht="16.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8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</row>
    <row r="522" ht="16.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8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</row>
    <row r="523" ht="16.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8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</row>
    <row r="524" ht="16.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8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</row>
    <row r="525" ht="16.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8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  <c r="AA525" s="17"/>
    </row>
    <row r="526" ht="16.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8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  <c r="AA526" s="17"/>
    </row>
    <row r="527" ht="16.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8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</row>
    <row r="528" ht="16.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8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</row>
    <row r="529" ht="16.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8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</row>
    <row r="530" ht="16.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8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</row>
    <row r="531" ht="16.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8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</row>
    <row r="532" ht="16.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8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</row>
    <row r="533" ht="16.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8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</row>
    <row r="534" ht="16.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8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</row>
    <row r="535" ht="16.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8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</row>
    <row r="536" ht="16.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8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</row>
    <row r="537" ht="16.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8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</row>
    <row r="538" ht="16.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8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</row>
    <row r="539" ht="16.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8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</row>
    <row r="540" ht="16.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8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</row>
    <row r="541" ht="16.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8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</row>
    <row r="542" ht="16.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8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</row>
    <row r="543" ht="16.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8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</row>
    <row r="544" ht="16.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8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</row>
    <row r="545" ht="16.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8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</row>
    <row r="546" ht="16.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8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</row>
    <row r="547" ht="16.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8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</row>
    <row r="548" ht="16.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8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</row>
    <row r="549" ht="16.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8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</row>
    <row r="550" ht="16.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8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</row>
    <row r="551" ht="16.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8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</row>
    <row r="552" ht="16.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8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</row>
    <row r="553" ht="16.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8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</row>
    <row r="554" ht="16.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8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</row>
    <row r="555" ht="16.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8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</row>
    <row r="556" ht="16.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8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</row>
    <row r="557" ht="16.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8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</row>
    <row r="558" ht="16.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8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</row>
    <row r="559" ht="16.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8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</row>
    <row r="560" ht="16.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8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</row>
    <row r="561" ht="16.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8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</row>
    <row r="562" ht="16.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8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</row>
    <row r="563" ht="16.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8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</row>
    <row r="564" ht="16.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8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</row>
    <row r="565" ht="16.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8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</row>
    <row r="566" ht="16.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8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</row>
    <row r="567" ht="16.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8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</row>
    <row r="568" ht="16.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8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</row>
    <row r="569" ht="16.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8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</row>
    <row r="570" ht="16.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8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</row>
    <row r="571" ht="16.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8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</row>
    <row r="572" ht="16.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8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</row>
    <row r="573" ht="16.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8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</row>
    <row r="574" ht="16.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8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</row>
    <row r="575" ht="16.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8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</row>
    <row r="576" ht="16.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8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</row>
    <row r="577" ht="16.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8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</row>
    <row r="578" ht="16.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8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</row>
    <row r="579" ht="16.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8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</row>
    <row r="580" ht="16.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8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</row>
    <row r="581" ht="16.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8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</row>
    <row r="582" ht="16.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8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</row>
    <row r="583" ht="16.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8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</row>
    <row r="584" ht="16.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8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</row>
    <row r="585" ht="16.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8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</row>
    <row r="586" ht="16.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8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</row>
    <row r="587" ht="16.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8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</row>
    <row r="588" ht="16.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8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</row>
    <row r="589" ht="16.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8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</row>
    <row r="590" ht="16.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8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</row>
    <row r="591" ht="16.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8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</row>
    <row r="592" ht="16.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8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</row>
    <row r="593" ht="16.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8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</row>
    <row r="594" ht="16.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8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</row>
    <row r="595" ht="16.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8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</row>
    <row r="596" ht="16.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8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</row>
    <row r="597" ht="16.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8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</row>
    <row r="598" ht="16.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8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</row>
    <row r="599" ht="16.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8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</row>
    <row r="600" ht="16.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8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</row>
    <row r="601" ht="16.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8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</row>
    <row r="602" ht="16.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8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</row>
    <row r="603" ht="16.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8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</row>
    <row r="604" ht="16.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8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</row>
    <row r="605" ht="16.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8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</row>
    <row r="606" ht="16.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8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</row>
    <row r="607" ht="16.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8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</row>
    <row r="608" ht="16.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8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</row>
    <row r="609" ht="16.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8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</row>
    <row r="610" ht="16.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8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</row>
    <row r="611" ht="16.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8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</row>
    <row r="612" ht="16.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8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</row>
    <row r="613" ht="16.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8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</row>
    <row r="614" ht="16.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8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</row>
    <row r="615" ht="16.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8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</row>
    <row r="616" ht="16.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8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</row>
    <row r="617" ht="16.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8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</row>
    <row r="618" ht="16.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8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</row>
    <row r="619" ht="16.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8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</row>
    <row r="620" ht="16.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8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</row>
    <row r="621" ht="16.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8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</row>
    <row r="622" ht="16.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8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</row>
    <row r="623" ht="16.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8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</row>
    <row r="624" ht="16.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8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</row>
    <row r="625" ht="16.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8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</row>
    <row r="626" ht="16.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8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</row>
    <row r="627" ht="16.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8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</row>
    <row r="628" ht="16.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8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</row>
    <row r="629" ht="16.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8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</row>
    <row r="630" ht="16.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8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</row>
    <row r="631" ht="16.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8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</row>
    <row r="632" ht="16.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8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</row>
    <row r="633" ht="16.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8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</row>
    <row r="634" ht="16.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8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</row>
    <row r="635" ht="16.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8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</row>
    <row r="636" ht="16.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8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</row>
    <row r="637" ht="16.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8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</row>
    <row r="638" ht="16.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8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</row>
    <row r="639" ht="16.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8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</row>
    <row r="640" ht="16.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8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</row>
    <row r="641" ht="16.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8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</row>
    <row r="642" ht="16.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8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</row>
    <row r="643" ht="16.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8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</row>
    <row r="644" ht="16.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8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</row>
    <row r="645" ht="16.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8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</row>
    <row r="646" ht="16.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8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</row>
    <row r="647" ht="16.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8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</row>
    <row r="648" ht="16.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8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</row>
    <row r="649" ht="16.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8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</row>
    <row r="650" ht="16.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8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</row>
    <row r="651" ht="16.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8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</row>
    <row r="652" ht="16.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8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</row>
    <row r="653" ht="16.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8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</row>
    <row r="654" ht="16.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8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</row>
    <row r="655" ht="16.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8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</row>
    <row r="656" ht="16.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8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</row>
    <row r="657" ht="16.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8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</row>
    <row r="658" ht="16.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8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</row>
    <row r="659" ht="16.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8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</row>
    <row r="660" ht="16.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8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</row>
    <row r="661" ht="16.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8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</row>
    <row r="662" ht="16.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8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</row>
    <row r="663" ht="16.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8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</row>
    <row r="664" ht="16.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8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</row>
    <row r="665" ht="16.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8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</row>
    <row r="666" ht="16.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8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</row>
    <row r="667" ht="16.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8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</row>
    <row r="668" ht="16.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8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</row>
    <row r="669" ht="16.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8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</row>
    <row r="670" ht="16.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8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</row>
    <row r="671" ht="16.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8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</row>
    <row r="672" ht="16.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8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</row>
    <row r="673" ht="16.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8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</row>
    <row r="674" ht="16.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8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</row>
    <row r="675" ht="16.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8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</row>
    <row r="676" ht="16.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8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</row>
    <row r="677" ht="16.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8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</row>
    <row r="678" ht="16.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8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</row>
    <row r="679" ht="16.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8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</row>
    <row r="680" ht="16.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8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</row>
    <row r="681" ht="16.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8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</row>
    <row r="682" ht="16.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8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</row>
    <row r="683" ht="16.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8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</row>
    <row r="684" ht="16.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8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</row>
    <row r="685" ht="16.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8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</row>
    <row r="686" ht="16.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8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</row>
    <row r="687" ht="16.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8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</row>
    <row r="688" ht="16.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8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</row>
    <row r="689" ht="16.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8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</row>
    <row r="690" ht="16.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8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</row>
    <row r="691" ht="16.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8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</row>
    <row r="692" ht="16.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8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</row>
    <row r="693" ht="16.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8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</row>
    <row r="694" ht="16.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8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</row>
    <row r="695" ht="16.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8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</row>
    <row r="696" ht="16.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8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</row>
    <row r="697" ht="16.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8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</row>
    <row r="698" ht="16.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8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</row>
    <row r="699" ht="16.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8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</row>
    <row r="700" ht="16.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8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</row>
    <row r="701" ht="16.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8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</row>
    <row r="702" ht="16.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8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</row>
    <row r="703" ht="16.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8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</row>
    <row r="704" ht="16.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8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</row>
    <row r="705" ht="16.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8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</row>
    <row r="706" ht="16.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8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</row>
    <row r="707" ht="16.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8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</row>
    <row r="708" ht="16.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8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</row>
    <row r="709" ht="16.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8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</row>
    <row r="710" ht="16.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8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</row>
    <row r="711" ht="16.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8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</row>
    <row r="712" ht="16.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8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</row>
    <row r="713" ht="16.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8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</row>
    <row r="714" ht="16.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8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</row>
    <row r="715" ht="16.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8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</row>
    <row r="716" ht="16.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8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</row>
    <row r="717" ht="16.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8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</row>
    <row r="718" ht="16.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8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</row>
    <row r="719" ht="16.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8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</row>
    <row r="720" ht="16.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8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</row>
    <row r="721" ht="16.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8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</row>
    <row r="722" ht="16.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8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</row>
    <row r="723" ht="16.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8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</row>
    <row r="724" ht="16.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8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</row>
    <row r="725" ht="16.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8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</row>
    <row r="726" ht="16.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8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</row>
    <row r="727" ht="16.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8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</row>
    <row r="728" ht="16.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8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</row>
    <row r="729" ht="16.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8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</row>
    <row r="730" ht="16.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8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</row>
    <row r="731" ht="16.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8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</row>
    <row r="732" ht="16.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8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</row>
    <row r="733" ht="16.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8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</row>
    <row r="734" ht="16.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8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</row>
    <row r="735" ht="16.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8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</row>
    <row r="736" ht="16.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8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</row>
    <row r="737" ht="16.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8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</row>
    <row r="738" ht="16.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8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</row>
    <row r="739" ht="16.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8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</row>
    <row r="740" ht="16.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8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</row>
    <row r="741" ht="16.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8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</row>
    <row r="742" ht="16.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8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</row>
    <row r="743" ht="16.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8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</row>
    <row r="744" ht="16.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8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</row>
    <row r="745" ht="16.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8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</row>
    <row r="746" ht="16.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8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</row>
    <row r="747" ht="16.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8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</row>
    <row r="748" ht="16.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8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</row>
    <row r="749" ht="16.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8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</row>
    <row r="750" ht="16.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8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</row>
    <row r="751" ht="16.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8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</row>
    <row r="752" ht="16.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8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</row>
    <row r="753" ht="16.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8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</row>
    <row r="754" ht="16.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8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</row>
    <row r="755" ht="16.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8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</row>
    <row r="756" ht="16.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8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</row>
    <row r="757" ht="16.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8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</row>
    <row r="758" ht="16.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8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</row>
    <row r="759" ht="16.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8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</row>
    <row r="760" ht="16.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8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</row>
    <row r="761" ht="16.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8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</row>
    <row r="762" ht="16.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8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</row>
    <row r="763" ht="16.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8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</row>
    <row r="764" ht="16.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8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</row>
    <row r="765" ht="16.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8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</row>
    <row r="766" ht="16.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8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</row>
    <row r="767" ht="16.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8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</row>
    <row r="768" ht="16.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8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</row>
    <row r="769" ht="16.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8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</row>
    <row r="770" ht="16.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8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</row>
    <row r="771" ht="16.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8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</row>
    <row r="772" ht="16.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8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</row>
    <row r="773" ht="16.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8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</row>
    <row r="774" ht="16.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8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</row>
    <row r="775" ht="16.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8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</row>
    <row r="776" ht="16.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8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</row>
    <row r="777" ht="16.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8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</row>
    <row r="778" ht="16.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8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</row>
    <row r="779" ht="16.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8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</row>
    <row r="780" ht="16.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8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</row>
    <row r="781" ht="16.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8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</row>
    <row r="782" ht="16.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8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</row>
    <row r="783" ht="16.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8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</row>
    <row r="784" ht="16.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8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</row>
    <row r="785" ht="16.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8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</row>
    <row r="786" ht="16.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8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</row>
    <row r="787" ht="16.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8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</row>
    <row r="788" ht="16.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8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</row>
    <row r="789" ht="16.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8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</row>
    <row r="790" ht="16.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8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</row>
    <row r="791" ht="16.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8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</row>
    <row r="792" ht="16.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8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</row>
    <row r="793" ht="16.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8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</row>
    <row r="794" ht="16.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8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</row>
    <row r="795" ht="16.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8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</row>
    <row r="796" ht="16.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8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</row>
    <row r="797" ht="16.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8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</row>
    <row r="798" ht="16.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8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</row>
    <row r="799" ht="16.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8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</row>
    <row r="800" ht="16.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8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</row>
    <row r="801" ht="16.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8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</row>
    <row r="802" ht="16.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8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</row>
    <row r="803" ht="16.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8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</row>
    <row r="804" ht="16.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8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</row>
    <row r="805" ht="16.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8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</row>
    <row r="806" ht="16.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8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</row>
    <row r="807" ht="16.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8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</row>
    <row r="808" ht="16.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8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</row>
    <row r="809" ht="16.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8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</row>
    <row r="810" ht="16.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8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</row>
    <row r="811" ht="16.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8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</row>
    <row r="812" ht="16.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8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</row>
    <row r="813" ht="16.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8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</row>
    <row r="814" ht="16.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8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</row>
    <row r="815" ht="16.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8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</row>
    <row r="816" ht="16.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8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</row>
    <row r="817" ht="16.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8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</row>
    <row r="818" ht="16.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8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</row>
    <row r="819" ht="16.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8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</row>
    <row r="820" ht="16.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8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</row>
    <row r="821" ht="16.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8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</row>
    <row r="822" ht="16.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8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</row>
    <row r="823" ht="16.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8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</row>
    <row r="824" ht="16.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8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</row>
    <row r="825" ht="16.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8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</row>
    <row r="826" ht="16.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8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</row>
    <row r="827" ht="16.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8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</row>
    <row r="828" ht="16.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8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</row>
    <row r="829" ht="16.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8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</row>
    <row r="830" ht="16.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8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</row>
    <row r="831" ht="16.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8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</row>
    <row r="832" ht="16.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8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</row>
    <row r="833" ht="16.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8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</row>
    <row r="834" ht="16.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8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</row>
    <row r="835" ht="16.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8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</row>
    <row r="836" ht="16.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8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  <c r="AA836" s="17"/>
    </row>
    <row r="837" ht="16.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8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</row>
    <row r="838" ht="16.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8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</row>
    <row r="839" ht="16.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8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</row>
    <row r="840" ht="16.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8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</row>
    <row r="841" ht="16.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8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</row>
    <row r="842" ht="16.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8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</row>
    <row r="843" ht="16.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8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</row>
    <row r="844" ht="16.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8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</row>
    <row r="845" ht="16.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8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</row>
    <row r="846" ht="16.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8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</row>
    <row r="847" ht="16.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8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</row>
    <row r="848" ht="16.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8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</row>
    <row r="849" ht="16.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8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</row>
    <row r="850" ht="16.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8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</row>
    <row r="851" ht="16.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8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</row>
    <row r="852" ht="16.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8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</row>
    <row r="853" ht="16.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8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</row>
    <row r="854" ht="16.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8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</row>
    <row r="855" ht="16.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8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</row>
    <row r="856" ht="16.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8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</row>
    <row r="857" ht="16.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8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</row>
    <row r="858" ht="16.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8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</row>
    <row r="859" ht="16.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8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</row>
    <row r="860" ht="16.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8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</row>
    <row r="861" ht="16.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8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</row>
    <row r="862" ht="16.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8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</row>
    <row r="863" ht="16.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8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</row>
    <row r="864" ht="16.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8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</row>
    <row r="865" ht="16.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8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</row>
    <row r="866" ht="16.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8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</row>
    <row r="867" ht="16.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8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</row>
    <row r="868" ht="16.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8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</row>
    <row r="869" ht="16.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8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</row>
    <row r="870" ht="16.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8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</row>
    <row r="871" ht="16.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8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</row>
    <row r="872" ht="16.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8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</row>
    <row r="873" ht="16.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8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</row>
    <row r="874" ht="16.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8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</row>
    <row r="875" ht="16.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8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</row>
    <row r="876" ht="16.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8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</row>
    <row r="877" ht="16.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8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</row>
    <row r="878" ht="16.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8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</row>
    <row r="879" ht="16.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8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</row>
    <row r="880" ht="16.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8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</row>
    <row r="881" ht="16.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8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</row>
    <row r="882" ht="16.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8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</row>
    <row r="883" ht="16.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8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</row>
    <row r="884" ht="16.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8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</row>
    <row r="885" ht="16.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8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</row>
    <row r="886" ht="16.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8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</row>
    <row r="887" ht="16.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8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</row>
    <row r="888" ht="16.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8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</row>
    <row r="889" ht="16.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8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</row>
    <row r="890" ht="16.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8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</row>
    <row r="891" ht="16.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8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</row>
    <row r="892" ht="16.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8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</row>
    <row r="893" ht="16.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8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</row>
    <row r="894" ht="16.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8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</row>
    <row r="895" ht="16.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8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</row>
    <row r="896" ht="16.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8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</row>
    <row r="897" ht="16.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8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</row>
    <row r="898" ht="16.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8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</row>
    <row r="899" ht="16.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8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</row>
    <row r="900" ht="16.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8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</row>
    <row r="901" ht="16.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8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</row>
    <row r="902" ht="16.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8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</row>
    <row r="903" ht="16.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8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</row>
    <row r="904" ht="16.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8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</row>
    <row r="905" ht="16.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8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</row>
    <row r="906" ht="16.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8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</row>
    <row r="907" ht="16.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8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</row>
    <row r="908" ht="16.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8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</row>
    <row r="909" ht="16.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8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</row>
    <row r="910" ht="16.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8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</row>
    <row r="911" ht="16.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8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</row>
    <row r="912" ht="16.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8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</row>
    <row r="913" ht="16.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8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</row>
    <row r="914" ht="16.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8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</row>
    <row r="915" ht="16.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8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</row>
    <row r="916" ht="16.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8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</row>
    <row r="917" ht="16.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8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</row>
    <row r="918" ht="16.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8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</row>
    <row r="919" ht="16.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8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</row>
    <row r="920" ht="16.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8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</row>
    <row r="921" ht="16.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8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</row>
    <row r="922" ht="16.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8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</row>
    <row r="923" ht="16.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8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</row>
    <row r="924" ht="16.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8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</row>
    <row r="925" ht="16.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8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</row>
    <row r="926" ht="16.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8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</row>
    <row r="927" ht="16.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8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</row>
    <row r="928" ht="16.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8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</row>
    <row r="929" ht="16.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8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</row>
    <row r="930" ht="16.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8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</row>
    <row r="931" ht="16.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8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</row>
    <row r="932" ht="16.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8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</row>
    <row r="933" ht="16.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8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</row>
    <row r="934" ht="16.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8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</row>
    <row r="935" ht="16.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8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</row>
    <row r="936" ht="16.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8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</row>
    <row r="937" ht="16.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8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</row>
    <row r="938" ht="16.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8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</row>
    <row r="939" ht="16.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8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</row>
    <row r="940" ht="16.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8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</row>
    <row r="941" ht="16.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8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</row>
    <row r="942" ht="16.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8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</row>
    <row r="943" ht="16.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8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</row>
    <row r="944" ht="16.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8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</row>
    <row r="945" ht="16.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8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</row>
    <row r="946" ht="16.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8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</row>
    <row r="947" ht="16.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8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</row>
    <row r="948" ht="16.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8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</row>
    <row r="949" ht="16.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8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</row>
    <row r="950" ht="16.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8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</row>
    <row r="951" ht="16.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8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</row>
    <row r="952" ht="16.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8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</row>
    <row r="953" ht="16.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8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</row>
    <row r="954" ht="16.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8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</row>
    <row r="955" ht="16.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8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</row>
    <row r="956" ht="16.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8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</row>
    <row r="957" ht="16.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8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</row>
    <row r="958" ht="16.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8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</row>
    <row r="959" ht="16.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8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</row>
    <row r="960" ht="16.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8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</row>
    <row r="961" ht="16.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8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</row>
    <row r="962" ht="16.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8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</row>
    <row r="963" ht="16.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8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</row>
    <row r="964" ht="16.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8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</row>
    <row r="965" ht="16.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8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</row>
    <row r="966" ht="16.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8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</row>
    <row r="967" ht="16.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8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</row>
    <row r="968" ht="16.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8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</row>
    <row r="969" ht="16.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8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</row>
    <row r="970" ht="16.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8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</row>
    <row r="971" ht="16.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8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</row>
    <row r="972" ht="16.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8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</row>
    <row r="973" ht="16.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8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</row>
    <row r="974" ht="16.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8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</row>
    <row r="975" ht="16.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8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</row>
    <row r="976" ht="16.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8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</row>
    <row r="977" ht="16.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8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</row>
    <row r="978" ht="16.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8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</row>
    <row r="979" ht="16.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8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</row>
    <row r="980" ht="16.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8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</row>
    <row r="981" ht="16.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8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</row>
    <row r="982" ht="16.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8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</row>
    <row r="983" ht="16.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8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</row>
    <row r="984" ht="16.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8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</row>
    <row r="985" ht="16.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8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</row>
    <row r="986" ht="16.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8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</row>
    <row r="987" ht="16.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8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</row>
    <row r="988" ht="16.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8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</row>
    <row r="989" ht="16.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8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</row>
    <row r="990" ht="16.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8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</row>
    <row r="991" ht="16.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8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</row>
    <row r="992" ht="16.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8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</row>
    <row r="993" ht="16.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8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</row>
    <row r="994" ht="16.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8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</row>
    <row r="995" ht="16.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8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</row>
    <row r="996" ht="16.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8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</row>
    <row r="997" ht="16.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8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</row>
    <row r="998" ht="16.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8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</row>
    <row r="999" ht="16.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8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</row>
    <row r="1000" ht="16.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8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</row>
    <row r="1001" ht="16.5" customHeight="1">
      <c r="A1001" s="17"/>
      <c r="B1001" s="17"/>
      <c r="C1001" s="17"/>
      <c r="D1001" s="17"/>
      <c r="E1001" s="17"/>
      <c r="F1001" s="17"/>
      <c r="G1001" s="17"/>
      <c r="H1001" s="17"/>
      <c r="I1001" s="17"/>
      <c r="J1001" s="17"/>
      <c r="K1001" s="17"/>
      <c r="L1001" s="17"/>
      <c r="M1001" s="17"/>
      <c r="N1001" s="18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</row>
    <row r="1002" ht="16.5" customHeight="1">
      <c r="A1002" s="17"/>
      <c r="B1002" s="17"/>
      <c r="C1002" s="17"/>
      <c r="D1002" s="17"/>
      <c r="E1002" s="17"/>
      <c r="F1002" s="17"/>
      <c r="G1002" s="17"/>
      <c r="H1002" s="17"/>
      <c r="I1002" s="17"/>
      <c r="J1002" s="17"/>
      <c r="K1002" s="17"/>
      <c r="L1002" s="17"/>
      <c r="M1002" s="17"/>
      <c r="N1002" s="18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</row>
    <row r="1003" ht="16.5" customHeight="1">
      <c r="A1003" s="17"/>
      <c r="B1003" s="17"/>
      <c r="C1003" s="17"/>
      <c r="D1003" s="17"/>
      <c r="E1003" s="17"/>
      <c r="F1003" s="17"/>
      <c r="G1003" s="17"/>
      <c r="H1003" s="17"/>
      <c r="I1003" s="17"/>
      <c r="J1003" s="17"/>
      <c r="K1003" s="17"/>
      <c r="L1003" s="17"/>
      <c r="M1003" s="17"/>
      <c r="N1003" s="18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</row>
    <row r="1004" ht="16.5" customHeight="1">
      <c r="A1004" s="17"/>
      <c r="B1004" s="17"/>
      <c r="C1004" s="17"/>
      <c r="D1004" s="17"/>
      <c r="E1004" s="17"/>
      <c r="F1004" s="17"/>
      <c r="G1004" s="17"/>
      <c r="H1004" s="17"/>
      <c r="I1004" s="17"/>
      <c r="J1004" s="17"/>
      <c r="K1004" s="17"/>
      <c r="L1004" s="17"/>
      <c r="M1004" s="17"/>
      <c r="N1004" s="18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</row>
  </sheetData>
  <mergeCells count="47">
    <mergeCell ref="B2:M2"/>
    <mergeCell ref="B4:H4"/>
    <mergeCell ref="B5:H5"/>
    <mergeCell ref="B6:H6"/>
    <mergeCell ref="B7:H7"/>
    <mergeCell ref="B8:H8"/>
    <mergeCell ref="K10:L10"/>
    <mergeCell ref="C10:H10"/>
    <mergeCell ref="C11:M11"/>
    <mergeCell ref="D12:H12"/>
    <mergeCell ref="K12:L12"/>
    <mergeCell ref="D13:H13"/>
    <mergeCell ref="K13:L13"/>
    <mergeCell ref="K14:L14"/>
    <mergeCell ref="K17:L17"/>
    <mergeCell ref="K18:L18"/>
    <mergeCell ref="D14:H14"/>
    <mergeCell ref="D15:H15"/>
    <mergeCell ref="K15:L15"/>
    <mergeCell ref="D16:H16"/>
    <mergeCell ref="K16:L16"/>
    <mergeCell ref="D17:H17"/>
    <mergeCell ref="D18:H18"/>
    <mergeCell ref="D19:H19"/>
    <mergeCell ref="K19:L19"/>
    <mergeCell ref="D20:H20"/>
    <mergeCell ref="K20:L20"/>
    <mergeCell ref="D21:H21"/>
    <mergeCell ref="K21:L21"/>
    <mergeCell ref="K22:L22"/>
    <mergeCell ref="K25:L25"/>
    <mergeCell ref="K26:L26"/>
    <mergeCell ref="D27:H27"/>
    <mergeCell ref="K27:L27"/>
    <mergeCell ref="D28:H28"/>
    <mergeCell ref="K28:L28"/>
    <mergeCell ref="D29:H29"/>
    <mergeCell ref="K29:L29"/>
    <mergeCell ref="C30:J30"/>
    <mergeCell ref="K30:L30"/>
    <mergeCell ref="D22:H22"/>
    <mergeCell ref="D23:H23"/>
    <mergeCell ref="K23:L23"/>
    <mergeCell ref="D24:H24"/>
    <mergeCell ref="K24:L24"/>
    <mergeCell ref="D25:H25"/>
    <mergeCell ref="D26:H26"/>
  </mergeCells>
  <printOptions/>
  <pageMargins bottom="0.31496062992125984" footer="0.0" header="0.0" left="0.5511811023622047" right="0.5511811023622047" top="0.31496062992125984"/>
  <pageSetup fitToHeight="0"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5.57"/>
    <col customWidth="1" min="3" max="3" width="65.43"/>
    <col customWidth="1" min="7" max="7" width="38.57"/>
  </cols>
  <sheetData>
    <row r="1">
      <c r="A1" s="88" t="s">
        <v>26</v>
      </c>
      <c r="B1" s="89" t="s">
        <v>61</v>
      </c>
      <c r="C1" s="89" t="s">
        <v>62</v>
      </c>
      <c r="D1" s="90" t="s">
        <v>63</v>
      </c>
      <c r="E1" s="91" t="s">
        <v>64</v>
      </c>
      <c r="F1" s="90" t="s">
        <v>65</v>
      </c>
      <c r="G1" s="89" t="s">
        <v>25</v>
      </c>
    </row>
    <row r="2">
      <c r="A2" s="88">
        <v>1.0</v>
      </c>
      <c r="B2" s="92" t="s">
        <v>28</v>
      </c>
      <c r="C2" s="92" t="s">
        <v>66</v>
      </c>
      <c r="D2" s="90">
        <v>4000000.0</v>
      </c>
      <c r="E2" s="91">
        <v>1.5</v>
      </c>
      <c r="F2" s="90">
        <v>6000000.0</v>
      </c>
      <c r="G2" s="93" t="s">
        <v>67</v>
      </c>
    </row>
    <row r="3">
      <c r="A3" s="94">
        <v>2.0</v>
      </c>
      <c r="B3" s="95" t="s">
        <v>31</v>
      </c>
      <c r="C3" s="95" t="s">
        <v>68</v>
      </c>
      <c r="D3" s="96">
        <v>3500000.0</v>
      </c>
      <c r="E3" s="97">
        <v>0.7</v>
      </c>
      <c r="F3" s="96">
        <v>2450000.0</v>
      </c>
      <c r="G3" s="98" t="s">
        <v>33</v>
      </c>
    </row>
    <row r="4">
      <c r="A4" s="88">
        <v>3.0</v>
      </c>
      <c r="B4" s="92" t="s">
        <v>31</v>
      </c>
      <c r="C4" s="92" t="s">
        <v>69</v>
      </c>
      <c r="D4" s="90">
        <v>3500000.0</v>
      </c>
      <c r="E4" s="91">
        <v>1.8</v>
      </c>
      <c r="F4" s="90">
        <v>6300000.0</v>
      </c>
      <c r="G4" s="92" t="s">
        <v>70</v>
      </c>
    </row>
    <row r="5">
      <c r="A5" s="94">
        <v>4.0</v>
      </c>
      <c r="B5" s="95" t="s">
        <v>31</v>
      </c>
      <c r="C5" s="95" t="s">
        <v>71</v>
      </c>
      <c r="D5" s="96">
        <v>3500000.0</v>
      </c>
      <c r="E5" s="97">
        <v>1.4</v>
      </c>
      <c r="F5" s="96">
        <v>4900000.0</v>
      </c>
      <c r="G5" s="99"/>
    </row>
    <row r="6">
      <c r="A6" s="88">
        <v>5.0</v>
      </c>
      <c r="B6" s="92" t="s">
        <v>31</v>
      </c>
      <c r="C6" s="92" t="s">
        <v>72</v>
      </c>
      <c r="D6" s="90">
        <v>3500000.0</v>
      </c>
      <c r="E6" s="91">
        <v>0.8</v>
      </c>
      <c r="F6" s="90">
        <v>2800000.0</v>
      </c>
      <c r="G6" s="100"/>
    </row>
    <row r="7">
      <c r="A7" s="94">
        <v>6.0</v>
      </c>
      <c r="B7" s="95" t="s">
        <v>31</v>
      </c>
      <c r="C7" s="95" t="s">
        <v>73</v>
      </c>
      <c r="D7" s="96">
        <v>3500000.0</v>
      </c>
      <c r="E7" s="97">
        <v>0.4</v>
      </c>
      <c r="F7" s="96">
        <v>1400000.0</v>
      </c>
      <c r="G7" s="99"/>
    </row>
    <row r="8">
      <c r="A8" s="88">
        <v>7.0</v>
      </c>
      <c r="B8" s="92" t="s">
        <v>31</v>
      </c>
      <c r="C8" s="92" t="s">
        <v>74</v>
      </c>
      <c r="D8" s="90">
        <v>3500000.0</v>
      </c>
      <c r="E8" s="91">
        <v>0.5</v>
      </c>
      <c r="F8" s="90">
        <v>1750000.0</v>
      </c>
      <c r="G8" s="100"/>
    </row>
    <row r="9">
      <c r="A9" s="94">
        <v>8.0</v>
      </c>
      <c r="B9" s="95" t="s">
        <v>31</v>
      </c>
      <c r="C9" s="98" t="s">
        <v>75</v>
      </c>
      <c r="D9" s="96">
        <v>3500000.0</v>
      </c>
      <c r="E9" s="97">
        <v>1.2</v>
      </c>
      <c r="F9" s="96">
        <v>4200000.0</v>
      </c>
      <c r="G9" s="101"/>
    </row>
    <row r="10">
      <c r="A10" s="88">
        <v>9.0</v>
      </c>
      <c r="B10" s="92" t="s">
        <v>31</v>
      </c>
      <c r="C10" s="93" t="s">
        <v>76</v>
      </c>
      <c r="D10" s="90">
        <v>3500000.0</v>
      </c>
      <c r="E10" s="91">
        <v>0.3</v>
      </c>
      <c r="F10" s="90">
        <v>1050000.0</v>
      </c>
      <c r="G10" s="92" t="s">
        <v>77</v>
      </c>
    </row>
    <row r="11">
      <c r="A11" s="94">
        <v>10.0</v>
      </c>
      <c r="B11" s="95" t="s">
        <v>31</v>
      </c>
      <c r="C11" s="98" t="s">
        <v>78</v>
      </c>
      <c r="D11" s="96">
        <v>3500000.0</v>
      </c>
      <c r="E11" s="97">
        <v>0.9</v>
      </c>
      <c r="F11" s="96">
        <v>3150000.0</v>
      </c>
      <c r="G11" s="101"/>
    </row>
    <row r="12">
      <c r="A12" s="88">
        <v>11.0</v>
      </c>
      <c r="B12" s="92" t="s">
        <v>44</v>
      </c>
      <c r="C12" s="93" t="s">
        <v>79</v>
      </c>
      <c r="D12" s="90">
        <v>4000000.0</v>
      </c>
      <c r="E12" s="91">
        <v>1.0</v>
      </c>
      <c r="F12" s="90">
        <v>4000000.0</v>
      </c>
      <c r="G12" s="92" t="s">
        <v>80</v>
      </c>
    </row>
    <row r="13">
      <c r="A13" s="94" t="s">
        <v>81</v>
      </c>
      <c r="B13" s="95" t="s">
        <v>82</v>
      </c>
      <c r="C13" s="95" t="s">
        <v>83</v>
      </c>
      <c r="D13" s="102"/>
      <c r="E13" s="97" t="s">
        <v>84</v>
      </c>
      <c r="F13" s="96">
        <v>3.8E7</v>
      </c>
      <c r="G13" s="95" t="s">
        <v>85</v>
      </c>
    </row>
    <row r="14">
      <c r="A14" s="88">
        <v>12.0</v>
      </c>
      <c r="B14" s="93" t="s">
        <v>49</v>
      </c>
      <c r="C14" s="93" t="s">
        <v>50</v>
      </c>
      <c r="D14" s="91" t="s">
        <v>81</v>
      </c>
      <c r="E14" s="91" t="s">
        <v>81</v>
      </c>
      <c r="F14" s="91">
        <v>0.0</v>
      </c>
      <c r="G14" s="92" t="s">
        <v>86</v>
      </c>
    </row>
    <row r="15">
      <c r="A15" s="94">
        <v>13.0</v>
      </c>
      <c r="B15" s="95" t="s">
        <v>51</v>
      </c>
      <c r="C15" s="98" t="s">
        <v>52</v>
      </c>
      <c r="D15" s="96">
        <v>5000000.0</v>
      </c>
      <c r="E15" s="97">
        <v>1.2</v>
      </c>
      <c r="F15" s="96">
        <v>6000000.0</v>
      </c>
      <c r="G15" s="95" t="s">
        <v>87</v>
      </c>
    </row>
    <row r="16">
      <c r="A16" s="88">
        <v>14.0</v>
      </c>
      <c r="B16" s="92" t="s">
        <v>53</v>
      </c>
      <c r="C16" s="92" t="s">
        <v>52</v>
      </c>
      <c r="D16" s="90">
        <v>5000000.0</v>
      </c>
      <c r="E16" s="91">
        <v>1.2</v>
      </c>
      <c r="F16" s="90">
        <v>6000000.0</v>
      </c>
      <c r="G16" s="92" t="s">
        <v>88</v>
      </c>
    </row>
    <row r="17">
      <c r="A17" s="94" t="s">
        <v>81</v>
      </c>
      <c r="B17" s="98" t="s">
        <v>54</v>
      </c>
      <c r="C17" s="99"/>
      <c r="D17" s="102"/>
      <c r="E17" s="97" t="s">
        <v>89</v>
      </c>
      <c r="F17" s="96">
        <v>1.2E7</v>
      </c>
      <c r="G17" s="95" t="s">
        <v>90</v>
      </c>
    </row>
    <row r="18">
      <c r="A18" s="88" t="s">
        <v>81</v>
      </c>
      <c r="B18" s="93" t="s">
        <v>55</v>
      </c>
      <c r="C18" s="93" t="s">
        <v>91</v>
      </c>
      <c r="D18" s="103"/>
      <c r="E18" s="91" t="s">
        <v>92</v>
      </c>
      <c r="F18" s="90">
        <v>5.0E7</v>
      </c>
      <c r="G18" s="92" t="s">
        <v>93</v>
      </c>
    </row>
    <row r="19">
      <c r="A19" s="94" t="s">
        <v>81</v>
      </c>
      <c r="B19" s="98" t="s">
        <v>57</v>
      </c>
      <c r="C19" s="99"/>
      <c r="D19" s="102"/>
      <c r="E19" s="97" t="s">
        <v>81</v>
      </c>
      <c r="F19" s="104">
        <v>5000000.0</v>
      </c>
      <c r="G19" s="95" t="s">
        <v>94</v>
      </c>
    </row>
    <row r="20">
      <c r="A20" s="88" t="s">
        <v>81</v>
      </c>
      <c r="B20" s="93" t="s">
        <v>59</v>
      </c>
      <c r="C20" s="100"/>
      <c r="D20" s="103"/>
      <c r="E20" s="91" t="s">
        <v>81</v>
      </c>
      <c r="F20" s="90">
        <v>5.5E7</v>
      </c>
      <c r="G20" s="92" t="s">
        <v>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.86"/>
    <col customWidth="1" min="2" max="2" width="20.86"/>
    <col customWidth="1" min="3" max="4" width="18.43"/>
    <col customWidth="1" min="5" max="5" width="20.14"/>
    <col customWidth="1" min="6" max="6" width="60.0"/>
    <col customWidth="1" min="7" max="26" width="8.71"/>
  </cols>
  <sheetData>
    <row r="1" ht="12.75" customHeight="1">
      <c r="G1" s="17"/>
      <c r="H1" s="17"/>
      <c r="I1" s="17"/>
      <c r="J1" s="17"/>
    </row>
    <row r="2" ht="24.0" customHeight="1">
      <c r="A2" s="105"/>
      <c r="B2" s="106" t="s">
        <v>96</v>
      </c>
      <c r="G2" s="107"/>
      <c r="H2" s="107"/>
      <c r="I2" s="107"/>
      <c r="J2" s="107"/>
    </row>
    <row r="3" ht="10.5" customHeight="1">
      <c r="G3" s="17"/>
      <c r="H3" s="17"/>
      <c r="I3" s="17"/>
      <c r="J3" s="17"/>
    </row>
    <row r="4" ht="39.75" customHeight="1">
      <c r="A4" s="108"/>
      <c r="B4" s="109" t="s">
        <v>97</v>
      </c>
      <c r="G4" s="108"/>
      <c r="H4" s="108"/>
      <c r="I4" s="108"/>
      <c r="J4" s="108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9.75" customHeight="1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18.75" customHeight="1">
      <c r="A6" s="110"/>
      <c r="B6" s="111" t="s">
        <v>98</v>
      </c>
      <c r="G6" s="108"/>
      <c r="H6" s="108"/>
      <c r="I6" s="108"/>
      <c r="J6" s="108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15.75" customHeight="1">
      <c r="A7" s="17"/>
      <c r="B7" s="17"/>
      <c r="C7" s="17"/>
      <c r="D7" s="17"/>
      <c r="E7" s="87"/>
      <c r="F7" s="87" t="s">
        <v>99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14.25" customHeight="1">
      <c r="A8" s="17"/>
      <c r="B8" s="112" t="s">
        <v>100</v>
      </c>
      <c r="C8" s="113" t="s">
        <v>101</v>
      </c>
      <c r="D8" s="113" t="s">
        <v>102</v>
      </c>
      <c r="E8" s="113" t="s">
        <v>103</v>
      </c>
      <c r="F8" s="114" t="s">
        <v>104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14.25" customHeight="1">
      <c r="A9" s="17"/>
      <c r="B9" s="115" t="s">
        <v>105</v>
      </c>
      <c r="C9" s="116">
        <v>1.1597656E7</v>
      </c>
      <c r="D9" s="116">
        <v>562993.0</v>
      </c>
      <c r="E9" s="117">
        <v>70374.0</v>
      </c>
      <c r="F9" s="118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14.25" customHeight="1">
      <c r="A10" s="17"/>
      <c r="B10" s="119" t="s">
        <v>106</v>
      </c>
      <c r="C10" s="120">
        <v>9706020.0</v>
      </c>
      <c r="D10" s="120">
        <v>471166.0</v>
      </c>
      <c r="E10" s="121">
        <v>58896.0</v>
      </c>
      <c r="F10" s="122" t="s">
        <v>107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14.25" customHeight="1">
      <c r="A11" s="17"/>
      <c r="B11" s="119" t="s">
        <v>108</v>
      </c>
      <c r="C11" s="120">
        <v>8997359.0</v>
      </c>
      <c r="D11" s="120">
        <v>436765.0</v>
      </c>
      <c r="E11" s="121">
        <v>54596.0</v>
      </c>
      <c r="F11" s="122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14.25" customHeight="1">
      <c r="A12" s="17"/>
      <c r="B12" s="119" t="s">
        <v>109</v>
      </c>
      <c r="C12" s="120">
        <v>7751183.0</v>
      </c>
      <c r="D12" s="120">
        <v>376271.0</v>
      </c>
      <c r="E12" s="121">
        <v>47034.0</v>
      </c>
      <c r="F12" s="122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14.25" customHeight="1">
      <c r="A13" s="17"/>
      <c r="B13" s="119" t="s">
        <v>110</v>
      </c>
      <c r="C13" s="120">
        <v>9145473.0</v>
      </c>
      <c r="D13" s="120">
        <v>443955.0</v>
      </c>
      <c r="E13" s="121">
        <v>55494.0</v>
      </c>
      <c r="F13" s="122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13.5" customHeight="1">
      <c r="A14" s="17"/>
      <c r="B14" s="119" t="s">
        <v>111</v>
      </c>
      <c r="C14" s="120">
        <v>1.0147745E7</v>
      </c>
      <c r="D14" s="120">
        <v>492609.0</v>
      </c>
      <c r="E14" s="121">
        <v>61576.0</v>
      </c>
      <c r="F14" s="122" t="s">
        <v>112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14.25" customHeight="1">
      <c r="A15" s="17"/>
      <c r="B15" s="119" t="s">
        <v>113</v>
      </c>
      <c r="C15" s="120">
        <v>6727260.0</v>
      </c>
      <c r="D15" s="120">
        <v>326566.0</v>
      </c>
      <c r="E15" s="121">
        <v>40821.0</v>
      </c>
      <c r="F15" s="122" t="s">
        <v>114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14.25" customHeight="1">
      <c r="A16" s="17"/>
      <c r="B16" s="119" t="s">
        <v>115</v>
      </c>
      <c r="C16" s="120">
        <v>5176203.0</v>
      </c>
      <c r="D16" s="120">
        <v>251272.0</v>
      </c>
      <c r="E16" s="121">
        <v>31409.0</v>
      </c>
      <c r="F16" s="122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13.5" customHeight="1">
      <c r="A17" s="17"/>
      <c r="B17" s="119" t="s">
        <v>116</v>
      </c>
      <c r="C17" s="120">
        <v>6943457.0</v>
      </c>
      <c r="D17" s="120">
        <v>337061.0</v>
      </c>
      <c r="E17" s="121">
        <v>42133.0</v>
      </c>
      <c r="F17" s="122" t="s">
        <v>117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14.25" customHeight="1">
      <c r="A18" s="17"/>
      <c r="B18" s="119" t="s">
        <v>118</v>
      </c>
      <c r="C18" s="120">
        <v>6099042.0</v>
      </c>
      <c r="D18" s="120">
        <v>296070.0</v>
      </c>
      <c r="E18" s="121">
        <v>37009.0</v>
      </c>
      <c r="F18" s="122" t="s">
        <v>119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14.25" customHeight="1">
      <c r="A19" s="17"/>
      <c r="B19" s="119" t="s">
        <v>120</v>
      </c>
      <c r="C19" s="120">
        <v>1.0154626E7</v>
      </c>
      <c r="D19" s="120">
        <v>492943.0</v>
      </c>
      <c r="E19" s="121">
        <v>61618.0</v>
      </c>
      <c r="F19" s="122" t="s">
        <v>121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14.25" customHeight="1">
      <c r="A20" s="17"/>
      <c r="B20" s="119" t="s">
        <v>122</v>
      </c>
      <c r="C20" s="120">
        <v>5058021.0</v>
      </c>
      <c r="D20" s="120">
        <v>245535.0</v>
      </c>
      <c r="E20" s="121">
        <v>30692.0</v>
      </c>
      <c r="F20" s="122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4.25" customHeight="1">
      <c r="A21" s="17"/>
      <c r="B21" s="119" t="s">
        <v>123</v>
      </c>
      <c r="C21" s="120">
        <v>1.1056617E7</v>
      </c>
      <c r="D21" s="120">
        <v>536729.0</v>
      </c>
      <c r="E21" s="121">
        <v>67091.0</v>
      </c>
      <c r="F21" s="122" t="s">
        <v>124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4.25" customHeight="1">
      <c r="A22" s="17"/>
      <c r="B22" s="119" t="s">
        <v>125</v>
      </c>
      <c r="C22" s="120">
        <v>9692094.0</v>
      </c>
      <c r="D22" s="120">
        <v>470490.0</v>
      </c>
      <c r="E22" s="121">
        <v>58811.0</v>
      </c>
      <c r="F22" s="122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4.25" customHeight="1">
      <c r="A23" s="17"/>
      <c r="B23" s="119" t="s">
        <v>126</v>
      </c>
      <c r="C23" s="120">
        <v>3570557.0</v>
      </c>
      <c r="D23" s="120">
        <v>173328.0</v>
      </c>
      <c r="E23" s="121">
        <v>21666.0</v>
      </c>
      <c r="F23" s="122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4.25" customHeight="1">
      <c r="A24" s="17"/>
      <c r="B24" s="119" t="s">
        <v>127</v>
      </c>
      <c r="C24" s="120">
        <v>1.0351376E7</v>
      </c>
      <c r="D24" s="120">
        <v>502494.0</v>
      </c>
      <c r="E24" s="121">
        <v>62812.0</v>
      </c>
      <c r="F24" s="122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3.5" customHeight="1">
      <c r="A25" s="17"/>
      <c r="B25" s="123" t="s">
        <v>128</v>
      </c>
      <c r="C25" s="124">
        <v>9857100.0</v>
      </c>
      <c r="D25" s="124">
        <v>478500.0</v>
      </c>
      <c r="E25" s="125">
        <v>59813.0</v>
      </c>
      <c r="F25" s="126" t="s">
        <v>129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06.25" customHeight="1">
      <c r="A27" s="17"/>
      <c r="B27" s="127" t="s">
        <v>130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4.25" customHeight="1">
      <c r="A29" s="17"/>
      <c r="B29" s="128" t="s">
        <v>131</v>
      </c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4.25" customHeight="1">
      <c r="A31" s="129" t="s">
        <v>132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30" t="s">
        <v>133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3.5" customHeight="1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3.5" customHeight="1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3.5" customHeight="1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3.5" customHeight="1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3.5" customHeight="1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3.5" customHeight="1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3.5" customHeight="1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3.5" customHeight="1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3.5" customHeight="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3.5" customHeight="1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3.5" customHeight="1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3.5" customHeight="1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3.5" customHeight="1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3.5" customHeight="1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3.5" customHeight="1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3.5" customHeight="1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3.5" customHeight="1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3.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3.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3.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3.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3.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3.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3.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3.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3.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3.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3.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3.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3.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3.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3.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3.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3.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3.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3.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3.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3.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3.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3.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3.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3.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3.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3.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3.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3.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3.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3.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3.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3.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3.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3.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3.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3.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3.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6">
    <mergeCell ref="B2:F2"/>
    <mergeCell ref="B4:F4"/>
    <mergeCell ref="B6:F6"/>
    <mergeCell ref="B27:F27"/>
    <mergeCell ref="A31:F31"/>
    <mergeCell ref="A32:F32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2010-06-22T02:05:17Z</dcterms:created>
  <dc:creator>카이젠컨설팅</dc:creator>
</cp:coreProperties>
</file>